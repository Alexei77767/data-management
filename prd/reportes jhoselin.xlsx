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er\Desktop\"/>
    </mc:Choice>
  </mc:AlternateContent>
  <xr:revisionPtr revIDLastSave="0" documentId="8_{265DB6BA-C90D-4CC6-AA39-A3CDD98F74E2}" xr6:coauthVersionLast="47" xr6:coauthVersionMax="47" xr10:uidLastSave="{00000000-0000-0000-0000-000000000000}"/>
  <bookViews>
    <workbookView xWindow="-108" yWindow="-108" windowWidth="22536" windowHeight="13176" xr2:uid="{D713F1CD-6919-4BA2-B88C-8D7F7CFDD937}"/>
  </bookViews>
  <sheets>
    <sheet name="Hoja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78" i="1" l="1"/>
  <c r="I181" i="1" s="1"/>
  <c r="J148" i="1" s="1"/>
  <c r="D166" i="1"/>
  <c r="E167" i="1" s="1"/>
  <c r="C166" i="1"/>
  <c r="F167" i="1" s="1"/>
  <c r="B166" i="1"/>
  <c r="B167" i="1" s="1"/>
  <c r="F160" i="1"/>
  <c r="G159" i="1"/>
  <c r="L148" i="1" s="1"/>
  <c r="F159" i="1"/>
  <c r="J145" i="1"/>
  <c r="C117" i="1"/>
  <c r="B117" i="1"/>
  <c r="C116" i="1"/>
  <c r="B116" i="1"/>
  <c r="C115" i="1"/>
  <c r="B115" i="1"/>
  <c r="U49" i="1"/>
  <c r="U48" i="1"/>
  <c r="U50" i="1" s="1"/>
  <c r="Q48" i="1"/>
  <c r="O48" i="1"/>
  <c r="L48" i="1"/>
  <c r="K48" i="1"/>
  <c r="L45" i="1"/>
  <c r="Y49" i="1" s="1"/>
  <c r="W49" i="1" s="1"/>
  <c r="K45" i="1"/>
  <c r="V49" i="1" s="1"/>
  <c r="C40" i="1"/>
  <c r="C48" i="1" s="1"/>
  <c r="B40" i="1"/>
  <c r="B48" i="1" s="1"/>
  <c r="F34" i="1"/>
  <c r="H30" i="1"/>
  <c r="G30" i="1"/>
  <c r="F30" i="1"/>
  <c r="O29" i="1"/>
  <c r="H29" i="1"/>
  <c r="F33" i="1" s="1"/>
  <c r="G29" i="1"/>
  <c r="F39" i="1" s="1"/>
  <c r="F29" i="1"/>
  <c r="Q27" i="1"/>
  <c r="P27" i="1"/>
  <c r="P29" i="1" s="1"/>
  <c r="G39" i="1" s="1"/>
  <c r="O27" i="1"/>
  <c r="S12" i="1"/>
  <c r="T10" i="1"/>
  <c r="S10" i="1"/>
  <c r="T11" i="1" s="1"/>
  <c r="S9" i="1"/>
  <c r="S11" i="1" s="1"/>
  <c r="S8" i="1"/>
  <c r="T8" i="1" s="1"/>
  <c r="S7" i="1"/>
  <c r="T7" i="1" s="1"/>
  <c r="P1" i="1"/>
  <c r="O1" i="1"/>
  <c r="L1" i="1"/>
  <c r="K1" i="1"/>
  <c r="G1" i="1"/>
  <c r="G160" i="1" l="1"/>
  <c r="G162" i="1"/>
  <c r="K148" i="1" s="1"/>
  <c r="T9" i="1"/>
  <c r="P48" i="1"/>
  <c r="V48" i="1"/>
  <c r="V50" i="1" s="1"/>
  <c r="B118" i="1"/>
  <c r="C167" i="1"/>
  <c r="C118" i="1"/>
  <c r="D167" i="1"/>
  <c r="F40" i="1"/>
  <c r="Y48" i="1"/>
  <c r="W48" i="1" s="1"/>
  <c r="W50" i="1" s="1"/>
  <c r="S13" i="1"/>
  <c r="K145" i="1"/>
  <c r="I179" i="1"/>
  <c r="G35" i="1" l="1"/>
  <c r="H31" i="1"/>
  <c r="F31" i="1"/>
  <c r="F28" i="1"/>
  <c r="H48" i="1"/>
  <c r="T6" i="1"/>
  <c r="S6" i="1"/>
  <c r="F38" i="1"/>
  <c r="G28" i="1"/>
  <c r="G31" i="1"/>
  <c r="H20" i="1"/>
  <c r="H28" i="1"/>
  <c r="F32" i="1"/>
  <c r="H35" i="1"/>
  <c r="F20" i="1"/>
  <c r="F48" i="1"/>
  <c r="G20" i="1"/>
  <c r="G48" i="1"/>
</calcChain>
</file>

<file path=xl/sharedStrings.xml><?xml version="1.0" encoding="utf-8"?>
<sst xmlns="http://schemas.openxmlformats.org/spreadsheetml/2006/main" count="377" uniqueCount="131">
  <si>
    <t>CLIENTE</t>
  </si>
  <si>
    <t>Kg</t>
  </si>
  <si>
    <t>Bs</t>
  </si>
  <si>
    <t>PAGOS</t>
  </si>
  <si>
    <t>Adolfo Inofuentes</t>
  </si>
  <si>
    <t>Arturo Lecoña</t>
  </si>
  <si>
    <t>Adolfo Inofuentes 1</t>
  </si>
  <si>
    <t>Casa Colibri IND.</t>
  </si>
  <si>
    <t>Alejandro Ramirez</t>
  </si>
  <si>
    <t>Casa Colibri OVI.</t>
  </si>
  <si>
    <t>Alex Mamani</t>
  </si>
  <si>
    <t>BELINDA ROJAS</t>
  </si>
  <si>
    <t>FABRICA COLIBRI</t>
  </si>
  <si>
    <t>Alexander Parra</t>
  </si>
  <si>
    <t>Bernardino Tarqui</t>
  </si>
  <si>
    <t>Edgar Delgadillo 1</t>
  </si>
  <si>
    <t>Gonzalo Quispe</t>
  </si>
  <si>
    <t>CAFEMUTE</t>
  </si>
  <si>
    <t>Eleuterio Gomez</t>
  </si>
  <si>
    <t>ING. BERNARDO</t>
  </si>
  <si>
    <t>Carlos Yampara</t>
  </si>
  <si>
    <t>Luciano Quispe</t>
  </si>
  <si>
    <t>Eleuterio Gomez 1</t>
  </si>
  <si>
    <t>Felix Lazo</t>
  </si>
  <si>
    <t>Mery Mollisaca</t>
  </si>
  <si>
    <t>Gladys Mollericona</t>
  </si>
  <si>
    <t>Frecia Larico</t>
  </si>
  <si>
    <t>Pastor Callisaya</t>
  </si>
  <si>
    <t>Gonzalo Laura</t>
  </si>
  <si>
    <t>Gonzalo Laura 1</t>
  </si>
  <si>
    <t>Polonesa</t>
  </si>
  <si>
    <t>Ingrid Lazo</t>
  </si>
  <si>
    <t>Rolando Nina</t>
  </si>
  <si>
    <t>Juan Carlos Martinez</t>
  </si>
  <si>
    <t>Grisel Lazo</t>
  </si>
  <si>
    <t>Rosa Coronel</t>
  </si>
  <si>
    <t>Heredia Tintaya</t>
  </si>
  <si>
    <t>Juana INOFUENTES</t>
  </si>
  <si>
    <t>Ruben Mamani</t>
  </si>
  <si>
    <t>Juana Limachi</t>
  </si>
  <si>
    <t>Leonardo Limachi 1</t>
  </si>
  <si>
    <t>Santiago Samo</t>
  </si>
  <si>
    <t>Jhenny Calderon Chavez</t>
  </si>
  <si>
    <t>Karina Conde</t>
  </si>
  <si>
    <t>Sergio David Quispe</t>
  </si>
  <si>
    <t>Josemar Quispe</t>
  </si>
  <si>
    <t>LIDIA RAMOS</t>
  </si>
  <si>
    <t>Maria Saavedra</t>
  </si>
  <si>
    <t>Teofilo Nina</t>
  </si>
  <si>
    <t>Marcelo Lazo 1</t>
  </si>
  <si>
    <t>Marisabel Nina</t>
  </si>
  <si>
    <t>Valeria Valencia</t>
  </si>
  <si>
    <t>MARCOS MOLLERICONA</t>
  </si>
  <si>
    <t>TOTAL ENTREGADO</t>
  </si>
  <si>
    <t>Nelson Medina</t>
  </si>
  <si>
    <t>Nancy Tintaya</t>
  </si>
  <si>
    <t>Nora Lazo</t>
  </si>
  <si>
    <t>Nilo Ramos</t>
  </si>
  <si>
    <t>Lucio Nina</t>
  </si>
  <si>
    <t>Ricardo Inofuentes 1</t>
  </si>
  <si>
    <t>POLONESA</t>
  </si>
  <si>
    <t>M. LAURA HUAYHUA</t>
  </si>
  <si>
    <t>Rider Colque CH.</t>
  </si>
  <si>
    <t>Rene Amaru</t>
  </si>
  <si>
    <t>ROMEL RAMOS</t>
  </si>
  <si>
    <t>Ricardo Inofuentes</t>
  </si>
  <si>
    <t>Ricardo Lecoña</t>
  </si>
  <si>
    <t>Rogelia Coro</t>
  </si>
  <si>
    <t>S. FABRICA(EVER)</t>
  </si>
  <si>
    <t>S. CASA COLIBRI</t>
  </si>
  <si>
    <t>S. FABRICA COLIBRI</t>
  </si>
  <si>
    <t>OUTLET</t>
  </si>
  <si>
    <t xml:space="preserve">TOTAL  </t>
  </si>
  <si>
    <t>Ovidio A. Lopez</t>
  </si>
  <si>
    <t>POR COBRAR EVER</t>
  </si>
  <si>
    <t>Pamela Laura</t>
  </si>
  <si>
    <t>Santos Flores</t>
  </si>
  <si>
    <t>POR COBRAR CASA C.</t>
  </si>
  <si>
    <t>POR COBRAR FAB. COL.</t>
  </si>
  <si>
    <t>Simon Medina</t>
  </si>
  <si>
    <t>TOTAL POR COBRAR</t>
  </si>
  <si>
    <t>Simon Mollisaca</t>
  </si>
  <si>
    <t>PRECIO PROMEDIO MES</t>
  </si>
  <si>
    <t>RONALD SONCO 1</t>
  </si>
  <si>
    <t>P.P. SALIDAS EVER</t>
  </si>
  <si>
    <t>Rosa Maria Cabrera</t>
  </si>
  <si>
    <t>Yessica Lazo</t>
  </si>
  <si>
    <t>P.P. SALIDAS CASA C.</t>
  </si>
  <si>
    <t>Simon Medina 1</t>
  </si>
  <si>
    <t>SUBTOTAL ENTREGADO</t>
  </si>
  <si>
    <t>P.P. SALIDAS DE FABRICA</t>
  </si>
  <si>
    <t>Simonita Callisaya</t>
  </si>
  <si>
    <t>susana MARQUEZ</t>
  </si>
  <si>
    <t>Teo Nina</t>
  </si>
  <si>
    <t>Walter Smith</t>
  </si>
  <si>
    <t>ING ALMACEN</t>
  </si>
  <si>
    <t>ENTREGADO</t>
  </si>
  <si>
    <t>COBRADO</t>
  </si>
  <si>
    <t>INDUSTRIAL</t>
  </si>
  <si>
    <t>OVILLO</t>
  </si>
  <si>
    <t>TOTAL</t>
  </si>
  <si>
    <t>Alex Huacani</t>
  </si>
  <si>
    <t>Celia Carvajal</t>
  </si>
  <si>
    <t>Alvaro Vargas</t>
  </si>
  <si>
    <t>Carlos Galleguillos</t>
  </si>
  <si>
    <t>Alfredo Flores</t>
  </si>
  <si>
    <t>Constanza Pacheco</t>
  </si>
  <si>
    <t>Ascencio Rios</t>
  </si>
  <si>
    <t>EINARD LOPEZ</t>
  </si>
  <si>
    <t>Edgar Delgadillo</t>
  </si>
  <si>
    <t>Edwin Toro</t>
  </si>
  <si>
    <t>Edgar Perez</t>
  </si>
  <si>
    <t>Teofilo Laura</t>
  </si>
  <si>
    <t>Erika Mamani</t>
  </si>
  <si>
    <t>Felix Suntura</t>
  </si>
  <si>
    <t>Yuas Tung</t>
  </si>
  <si>
    <t>Frecia Moller</t>
  </si>
  <si>
    <t>German Contreras</t>
  </si>
  <si>
    <t>Geronimo Canaza</t>
  </si>
  <si>
    <t>Susana Marquez</t>
  </si>
  <si>
    <t>Gerardo Ramos</t>
  </si>
  <si>
    <t>Victoria Mamani</t>
  </si>
  <si>
    <t>Lizeth Machicado</t>
  </si>
  <si>
    <t>Yessica Cuno</t>
  </si>
  <si>
    <t>LORGIA TAPIA</t>
  </si>
  <si>
    <t>Maria Mendoza</t>
  </si>
  <si>
    <t>Pedro Ali</t>
  </si>
  <si>
    <t>Rider Colque</t>
  </si>
  <si>
    <t>Leonardo Limachi</t>
  </si>
  <si>
    <t>Ana Ramos</t>
  </si>
  <si>
    <t>Rosario Estrada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</si>
</sst>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/mm/yyyy;@"/>
    <numFmt numFmtId="166" formatCode="#,##0.00;[Red]#,##0.00"/>
    <numFmt numFmtId="167" formatCode="#,##0.00_ ;[Red]\-#,##0.00\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3F5DB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4" fontId="0" fillId="0" borderId="0" xfId="0" applyNumberFormat="1"/>
    <xf numFmtId="43" fontId="0" fillId="0" borderId="1" xfId="1" applyFont="1" applyFill="1" applyBorder="1"/>
    <xf numFmtId="43" fontId="0" fillId="0" borderId="1" xfId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2" fillId="0" borderId="0" xfId="0" applyFont="1"/>
    <xf numFmtId="4" fontId="2" fillId="0" borderId="0" xfId="0" applyNumberFormat="1" applyFont="1"/>
    <xf numFmtId="166" fontId="0" fillId="0" borderId="0" xfId="0" applyNumberFormat="1"/>
    <xf numFmtId="0" fontId="2" fillId="0" borderId="2" xfId="0" applyFont="1" applyBorder="1" applyAlignment="1">
      <alignment horizontal="center"/>
    </xf>
    <xf numFmtId="4" fontId="0" fillId="0" borderId="3" xfId="0" applyNumberFormat="1" applyBorder="1"/>
    <xf numFmtId="4" fontId="0" fillId="0" borderId="4" xfId="0" applyNumberFormat="1" applyBorder="1"/>
    <xf numFmtId="0" fontId="2" fillId="2" borderId="5" xfId="0" applyFont="1" applyFill="1" applyBorder="1" applyAlignment="1">
      <alignment horizontal="center"/>
    </xf>
    <xf numFmtId="4" fontId="0" fillId="2" borderId="6" xfId="0" applyNumberFormat="1" applyFill="1" applyBorder="1"/>
    <xf numFmtId="4" fontId="0" fillId="2" borderId="7" xfId="0" applyNumberFormat="1" applyFill="1" applyBorder="1"/>
    <xf numFmtId="43" fontId="0" fillId="0" borderId="0" xfId="0" applyNumberFormat="1"/>
    <xf numFmtId="0" fontId="2" fillId="3" borderId="8" xfId="0" applyFont="1" applyFill="1" applyBorder="1" applyAlignment="1">
      <alignment horizontal="center"/>
    </xf>
    <xf numFmtId="4" fontId="0" fillId="3" borderId="0" xfId="0" applyNumberFormat="1" applyFill="1"/>
    <xf numFmtId="4" fontId="0" fillId="3" borderId="9" xfId="0" applyNumberFormat="1" applyFill="1" applyBorder="1"/>
    <xf numFmtId="0" fontId="2" fillId="4" borderId="10" xfId="0" applyFont="1" applyFill="1" applyBorder="1" applyAlignment="1">
      <alignment horizontal="center"/>
    </xf>
    <xf numFmtId="4" fontId="2" fillId="4" borderId="6" xfId="0" applyNumberFormat="1" applyFont="1" applyFill="1" applyBorder="1"/>
    <xf numFmtId="4" fontId="2" fillId="4" borderId="10" xfId="0" applyNumberFormat="1" applyFont="1" applyFill="1" applyBorder="1"/>
    <xf numFmtId="4" fontId="2" fillId="4" borderId="7" xfId="0" applyNumberFormat="1" applyFont="1" applyFill="1" applyBorder="1"/>
    <xf numFmtId="166" fontId="0" fillId="0" borderId="11" xfId="0" applyNumberFormat="1" applyBorder="1" applyAlignment="1">
      <alignment horizontal="right" vertical="center" wrapText="1"/>
    </xf>
    <xf numFmtId="166" fontId="0" fillId="0" borderId="12" xfId="0" applyNumberFormat="1" applyBorder="1" applyAlignment="1">
      <alignment vertical="center" wrapText="1"/>
    </xf>
    <xf numFmtId="166" fontId="0" fillId="2" borderId="13" xfId="0" applyNumberFormat="1" applyFill="1" applyBorder="1" applyAlignment="1">
      <alignment horizontal="right" vertical="center" wrapText="1"/>
    </xf>
    <xf numFmtId="166" fontId="0" fillId="2" borderId="14" xfId="0" applyNumberForma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/>
    </xf>
    <xf numFmtId="166" fontId="0" fillId="3" borderId="15" xfId="0" applyNumberFormat="1" applyFill="1" applyBorder="1" applyAlignment="1">
      <alignment horizontal="right" vertical="center" wrapText="1"/>
    </xf>
    <xf numFmtId="166" fontId="0" fillId="3" borderId="16" xfId="0" applyNumberFormat="1" applyFill="1" applyBorder="1" applyAlignment="1">
      <alignment vertical="center" wrapText="1"/>
    </xf>
    <xf numFmtId="0" fontId="2" fillId="5" borderId="10" xfId="0" applyFont="1" applyFill="1" applyBorder="1" applyAlignment="1">
      <alignment horizontal="center"/>
    </xf>
    <xf numFmtId="0" fontId="0" fillId="5" borderId="17" xfId="0" applyFill="1" applyBorder="1"/>
    <xf numFmtId="166" fontId="0" fillId="5" borderId="6" xfId="0" applyNumberFormat="1" applyFill="1" applyBorder="1" applyAlignment="1">
      <alignment horizontal="center"/>
    </xf>
    <xf numFmtId="166" fontId="0" fillId="6" borderId="10" xfId="0" applyNumberForma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6" fontId="0" fillId="0" borderId="21" xfId="0" applyNumberFormat="1" applyBorder="1" applyAlignment="1">
      <alignment horizontal="center" vertical="center"/>
    </xf>
    <xf numFmtId="43" fontId="0" fillId="0" borderId="10" xfId="0" applyNumberFormat="1" applyBorder="1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6" borderId="0" xfId="0" applyFill="1"/>
    <xf numFmtId="4" fontId="0" fillId="6" borderId="0" xfId="0" applyNumberFormat="1" applyFill="1"/>
    <xf numFmtId="0" fontId="2" fillId="6" borderId="1" xfId="0" applyFont="1" applyFill="1" applyBorder="1"/>
    <xf numFmtId="4" fontId="2" fillId="6" borderId="1" xfId="0" applyNumberFormat="1" applyFont="1" applyFill="1" applyBorder="1"/>
    <xf numFmtId="0" fontId="3" fillId="7" borderId="0" xfId="0" applyFont="1" applyFill="1" applyAlignment="1">
      <alignment vertical="center"/>
    </xf>
    <xf numFmtId="4" fontId="0" fillId="7" borderId="0" xfId="0" applyNumberFormat="1" applyFill="1"/>
    <xf numFmtId="0" fontId="0" fillId="7" borderId="0" xfId="0" applyFill="1"/>
    <xf numFmtId="0" fontId="4" fillId="7" borderId="0" xfId="0" applyFont="1" applyFill="1"/>
    <xf numFmtId="167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ander\Desktop\reportes%20gestion%20de%20datos\REPORTE.Mayo.2026.xlsx" TargetMode="External"/><Relationship Id="rId1" Type="http://schemas.openxmlformats.org/officeDocument/2006/relationships/externalLinkPath" Target="reportes%20gestion%20de%20datos/REPORTE.Mayo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ander\Desktop\reportes%20gestion%20de%20datos\JULIO.xlsx" TargetMode="External"/><Relationship Id="rId1" Type="http://schemas.openxmlformats.org/officeDocument/2006/relationships/externalLinkPath" Target="reportes%20gestion%20de%20datos/JU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TAIND"/>
      <sheetName val="VTAOVI"/>
      <sheetName val="VTAS"/>
      <sheetName val="ProPagos"/>
      <sheetName val="2023vs2024"/>
      <sheetName val="EXPCHILE"/>
      <sheetName val="SDF"/>
      <sheetName val="INGRESOS"/>
      <sheetName val="EGRESOS"/>
      <sheetName val="CXC"/>
      <sheetName val="MES"/>
      <sheetName val="AÑO"/>
      <sheetName val="REPORTE"/>
      <sheetName val="CXP"/>
      <sheetName val="cc"/>
      <sheetName val="Hoja1"/>
      <sheetName val="Hoja2"/>
    </sheetNames>
    <sheetDataSet>
      <sheetData sheetId="0">
        <row r="47">
          <cell r="D47">
            <v>414412.7</v>
          </cell>
          <cell r="E47">
            <v>32902771.5</v>
          </cell>
        </row>
        <row r="50">
          <cell r="D50">
            <v>414412.7</v>
          </cell>
          <cell r="E50">
            <v>-213</v>
          </cell>
        </row>
        <row r="224">
          <cell r="D224">
            <v>55412</v>
          </cell>
          <cell r="E224">
            <v>4282091</v>
          </cell>
          <cell r="F224">
            <v>3406605.8</v>
          </cell>
        </row>
      </sheetData>
      <sheetData sheetId="1">
        <row r="62">
          <cell r="D62">
            <v>0</v>
          </cell>
          <cell r="E62">
            <v>0</v>
          </cell>
        </row>
        <row r="455">
          <cell r="D455">
            <v>34664.400000000001</v>
          </cell>
          <cell r="E455">
            <v>0</v>
          </cell>
          <cell r="F455">
            <v>2566702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118">
          <cell r="AL118">
            <v>0</v>
          </cell>
          <cell r="BL118">
            <v>32902771.5</v>
          </cell>
          <cell r="BM118">
            <v>27541857.100000001</v>
          </cell>
        </row>
        <row r="195">
          <cell r="BL195">
            <v>0</v>
          </cell>
          <cell r="BM195">
            <v>0</v>
          </cell>
        </row>
        <row r="197">
          <cell r="BL197">
            <v>32902771.5</v>
          </cell>
        </row>
      </sheetData>
      <sheetData sheetId="10"/>
      <sheetData sheetId="11"/>
      <sheetData sheetId="12">
        <row r="4">
          <cell r="B4">
            <v>3</v>
          </cell>
        </row>
        <row r="5">
          <cell r="B5">
            <v>3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P"/>
      <sheetName val="PROD"/>
      <sheetName val="VNT.fabrica"/>
      <sheetName val="VNT. C.C."/>
      <sheetName val="INGRESOS"/>
      <sheetName val="EGRESOS"/>
      <sheetName val="INGRESOS C.C"/>
      <sheetName val="GIROS MP"/>
      <sheetName val="Hoja1"/>
      <sheetName val="Hoja4"/>
      <sheetName val="Hoja2"/>
      <sheetName val="datos ax"/>
      <sheetName val="datos remate ing"/>
      <sheetName val="Hoja3"/>
    </sheetNames>
    <sheetDataSet>
      <sheetData sheetId="0">
        <row r="283">
          <cell r="C283">
            <v>6389.5</v>
          </cell>
        </row>
      </sheetData>
      <sheetData sheetId="1">
        <row r="426">
          <cell r="B426">
            <v>2172.27</v>
          </cell>
        </row>
        <row r="671">
          <cell r="Q671">
            <v>500467.82</v>
          </cell>
          <cell r="R671">
            <v>168266.32</v>
          </cell>
        </row>
      </sheetData>
      <sheetData sheetId="2">
        <row r="1">
          <cell r="A1" t="str">
            <v>FECHA</v>
          </cell>
        </row>
      </sheetData>
      <sheetData sheetId="3">
        <row r="1">
          <cell r="A1" t="str">
            <v>FECHA</v>
          </cell>
        </row>
      </sheetData>
      <sheetData sheetId="4">
        <row r="1">
          <cell r="A1" t="str">
            <v>FECHA</v>
          </cell>
        </row>
      </sheetData>
      <sheetData sheetId="5">
        <row r="2">
          <cell r="A2" t="str">
            <v>FECHA</v>
          </cell>
        </row>
      </sheetData>
      <sheetData sheetId="6">
        <row r="1">
          <cell r="A1" t="str">
            <v>FECHA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08F9-9522-4CF6-9F8F-E785BAE81BEE}">
  <dimension ref="A1:Y181"/>
  <sheetViews>
    <sheetView tabSelected="1" workbookViewId="0">
      <selection sqref="A1:Y190"/>
    </sheetView>
  </sheetViews>
  <sheetFormatPr baseColWidth="10" defaultRowHeight="14.4" x14ac:dyDescent="0.3"/>
  <sheetData>
    <row r="1" spans="1:20" x14ac:dyDescent="0.3">
      <c r="A1" s="1"/>
      <c r="B1" s="2">
        <v>46023</v>
      </c>
      <c r="C1" s="2">
        <v>46173</v>
      </c>
      <c r="E1" s="1"/>
      <c r="F1" s="2">
        <v>46143</v>
      </c>
      <c r="G1" s="2">
        <f>+C1</f>
        <v>46173</v>
      </c>
      <c r="H1" s="2"/>
      <c r="K1" s="2">
        <f>+B1</f>
        <v>46023</v>
      </c>
      <c r="L1" s="2">
        <f>+C1</f>
        <v>46173</v>
      </c>
      <c r="O1" s="2">
        <f>+F1</f>
        <v>46143</v>
      </c>
      <c r="P1" s="2">
        <f>+C1</f>
        <v>46173</v>
      </c>
      <c r="Q1" s="2"/>
    </row>
    <row r="2" spans="1:20" x14ac:dyDescent="0.3">
      <c r="A2" s="3" t="s">
        <v>0</v>
      </c>
      <c r="B2" s="3" t="s">
        <v>1</v>
      </c>
      <c r="C2" s="3" t="s">
        <v>2</v>
      </c>
      <c r="D2" s="1"/>
      <c r="E2" s="3" t="s">
        <v>0</v>
      </c>
      <c r="F2" s="3" t="s">
        <v>1</v>
      </c>
      <c r="G2" s="3" t="s">
        <v>2</v>
      </c>
      <c r="H2" s="3" t="s">
        <v>3</v>
      </c>
      <c r="J2" s="3" t="s">
        <v>0</v>
      </c>
      <c r="K2" s="3" t="s">
        <v>1</v>
      </c>
      <c r="L2" s="3" t="s">
        <v>2</v>
      </c>
      <c r="M2" s="1"/>
      <c r="N2" s="3" t="s">
        <v>0</v>
      </c>
      <c r="O2" s="3" t="s">
        <v>1</v>
      </c>
      <c r="P2" s="3" t="s">
        <v>2</v>
      </c>
      <c r="Q2" s="3" t="s">
        <v>3</v>
      </c>
    </row>
    <row r="3" spans="1:20" x14ac:dyDescent="0.3">
      <c r="A3" s="4" t="s">
        <v>4</v>
      </c>
      <c r="B3" s="5">
        <v>7770</v>
      </c>
      <c r="C3" s="5">
        <v>576929</v>
      </c>
      <c r="D3" s="6"/>
      <c r="E3" s="4" t="s">
        <v>5</v>
      </c>
      <c r="F3" s="5">
        <v>6529</v>
      </c>
      <c r="G3" s="5">
        <v>374217</v>
      </c>
      <c r="H3" s="5">
        <v>460350</v>
      </c>
      <c r="J3" s="4" t="s">
        <v>6</v>
      </c>
      <c r="K3" s="5">
        <v>12547</v>
      </c>
      <c r="L3" s="5">
        <v>1222502</v>
      </c>
      <c r="M3" s="6"/>
      <c r="N3" s="7" t="s">
        <v>6</v>
      </c>
      <c r="O3" s="7">
        <v>1313</v>
      </c>
      <c r="P3" s="7">
        <v>121245</v>
      </c>
      <c r="Q3" s="8">
        <v>88200</v>
      </c>
      <c r="S3" s="6"/>
      <c r="T3" s="6"/>
    </row>
    <row r="4" spans="1:20" x14ac:dyDescent="0.3">
      <c r="A4" s="4" t="s">
        <v>5</v>
      </c>
      <c r="B4" s="5">
        <v>94450.5</v>
      </c>
      <c r="C4" s="5">
        <v>8118374.25</v>
      </c>
      <c r="D4" s="6"/>
      <c r="E4" s="4" t="s">
        <v>7</v>
      </c>
      <c r="F4" s="5">
        <v>1556</v>
      </c>
      <c r="G4" s="5">
        <v>121368</v>
      </c>
      <c r="H4" s="5">
        <v>178940</v>
      </c>
      <c r="J4" s="4" t="s">
        <v>8</v>
      </c>
      <c r="K4" s="5">
        <v>8217</v>
      </c>
      <c r="L4" s="5">
        <v>737584</v>
      </c>
      <c r="M4" s="6"/>
      <c r="N4" s="7" t="s">
        <v>8</v>
      </c>
      <c r="O4" s="7">
        <v>615</v>
      </c>
      <c r="P4" s="7">
        <v>64575</v>
      </c>
      <c r="Q4" s="8">
        <v>45450</v>
      </c>
      <c r="S4" s="6"/>
      <c r="T4" s="6"/>
    </row>
    <row r="5" spans="1:20" x14ac:dyDescent="0.3">
      <c r="A5" s="4" t="s">
        <v>7</v>
      </c>
      <c r="B5" s="5">
        <v>123310.5</v>
      </c>
      <c r="C5" s="5">
        <v>11595486.5</v>
      </c>
      <c r="D5" s="6"/>
      <c r="E5" s="4" t="s">
        <v>9</v>
      </c>
      <c r="F5" s="5">
        <v>16573</v>
      </c>
      <c r="G5" s="5">
        <v>1292694</v>
      </c>
      <c r="H5" s="5">
        <v>1405616.8</v>
      </c>
      <c r="J5" s="4" t="s">
        <v>10</v>
      </c>
      <c r="K5" s="5">
        <v>14570</v>
      </c>
      <c r="L5" s="5">
        <v>1155100</v>
      </c>
      <c r="M5" s="6"/>
      <c r="N5" s="7" t="s">
        <v>11</v>
      </c>
      <c r="O5" s="7">
        <v>1152</v>
      </c>
      <c r="P5" s="7">
        <v>122808</v>
      </c>
      <c r="Q5" s="8">
        <v>39500</v>
      </c>
    </row>
    <row r="6" spans="1:20" x14ac:dyDescent="0.3">
      <c r="A6" s="4" t="s">
        <v>9</v>
      </c>
      <c r="B6" s="5">
        <v>203549</v>
      </c>
      <c r="C6" s="5">
        <v>18928197</v>
      </c>
      <c r="D6" s="6"/>
      <c r="E6" s="4" t="s">
        <v>12</v>
      </c>
      <c r="F6" s="5">
        <v>801</v>
      </c>
      <c r="G6" s="5">
        <v>29450</v>
      </c>
      <c r="H6" s="5">
        <v>0</v>
      </c>
      <c r="J6" s="4" t="s">
        <v>13</v>
      </c>
      <c r="K6" s="5">
        <v>1005</v>
      </c>
      <c r="L6" s="5">
        <v>99615</v>
      </c>
      <c r="M6" s="6"/>
      <c r="N6" s="7" t="s">
        <v>14</v>
      </c>
      <c r="O6" s="7">
        <v>270</v>
      </c>
      <c r="P6" s="7">
        <v>28350</v>
      </c>
      <c r="Q6" s="8">
        <v>20000</v>
      </c>
      <c r="S6" s="6">
        <f ca="1">+G20</f>
        <v>3804341</v>
      </c>
      <c r="T6" s="6">
        <f ca="1">+S6-[1]CXC!AL118</f>
        <v>3804341</v>
      </c>
    </row>
    <row r="7" spans="1:20" x14ac:dyDescent="0.3">
      <c r="A7" s="4" t="s">
        <v>15</v>
      </c>
      <c r="B7" s="5">
        <v>407.5</v>
      </c>
      <c r="C7" s="5">
        <v>27302.5</v>
      </c>
      <c r="D7" s="6"/>
      <c r="E7" s="4" t="s">
        <v>16</v>
      </c>
      <c r="F7" s="5">
        <v>401.5</v>
      </c>
      <c r="G7" s="5">
        <v>32521.5</v>
      </c>
      <c r="H7" s="5">
        <v>0</v>
      </c>
      <c r="J7" s="4" t="s">
        <v>11</v>
      </c>
      <c r="K7" s="5">
        <v>1152</v>
      </c>
      <c r="L7" s="5">
        <v>122808</v>
      </c>
      <c r="M7" s="6"/>
      <c r="N7" s="7" t="s">
        <v>17</v>
      </c>
      <c r="O7" s="7">
        <v>3501.4</v>
      </c>
      <c r="P7" s="7">
        <v>315228</v>
      </c>
      <c r="Q7" s="8">
        <v>414647</v>
      </c>
      <c r="S7" s="6">
        <f>+L45+C40</f>
        <v>111071752.20722684</v>
      </c>
      <c r="T7" s="6">
        <f>+S7-[1]CXC!BL197</f>
        <v>78168980.707226843</v>
      </c>
    </row>
    <row r="8" spans="1:20" x14ac:dyDescent="0.3">
      <c r="A8" s="4" t="s">
        <v>18</v>
      </c>
      <c r="B8" s="5">
        <v>2142</v>
      </c>
      <c r="C8" s="5">
        <v>155714</v>
      </c>
      <c r="D8" s="6"/>
      <c r="E8" s="4" t="s">
        <v>19</v>
      </c>
      <c r="F8" s="5">
        <v>102</v>
      </c>
      <c r="G8" s="5">
        <v>0</v>
      </c>
      <c r="H8" s="5">
        <v>50000</v>
      </c>
      <c r="J8" s="4" t="s">
        <v>14</v>
      </c>
      <c r="K8" s="5">
        <v>4765</v>
      </c>
      <c r="L8" s="5">
        <v>413765</v>
      </c>
      <c r="M8" s="6"/>
      <c r="N8" s="7" t="s">
        <v>20</v>
      </c>
      <c r="O8" s="7">
        <v>525</v>
      </c>
      <c r="P8" s="7">
        <v>55125</v>
      </c>
      <c r="Q8" s="8">
        <v>41130</v>
      </c>
      <c r="S8" s="6">
        <f>+[1]VTAIND!E47+[1]VTAOVI!E62</f>
        <v>32902771.5</v>
      </c>
      <c r="T8" s="6">
        <f>+S8-[1]CXC!$BL$197</f>
        <v>0</v>
      </c>
    </row>
    <row r="9" spans="1:20" x14ac:dyDescent="0.3">
      <c r="A9" s="4" t="s">
        <v>12</v>
      </c>
      <c r="B9" s="5">
        <v>2868</v>
      </c>
      <c r="C9" s="5">
        <v>248560</v>
      </c>
      <c r="D9" s="6"/>
      <c r="E9" s="4" t="s">
        <v>21</v>
      </c>
      <c r="F9" s="5">
        <v>605.5</v>
      </c>
      <c r="G9" s="5">
        <v>49045.5</v>
      </c>
      <c r="H9" s="5">
        <v>30000</v>
      </c>
      <c r="J9" s="4" t="s">
        <v>17</v>
      </c>
      <c r="K9" s="5">
        <v>78056.697963985062</v>
      </c>
      <c r="L9" s="5">
        <v>6650568.4572268501</v>
      </c>
      <c r="M9" s="6"/>
      <c r="N9" s="7" t="s">
        <v>22</v>
      </c>
      <c r="O9" s="7">
        <v>696</v>
      </c>
      <c r="P9" s="7">
        <v>65520</v>
      </c>
      <c r="Q9" s="8">
        <v>50000</v>
      </c>
      <c r="S9" s="6">
        <f>+[1]VTAOVI!E62+[1]VTAIND!E47</f>
        <v>32902771.5</v>
      </c>
      <c r="T9" s="6">
        <f>+S9-[1]CXC!$BL$197</f>
        <v>0</v>
      </c>
    </row>
    <row r="10" spans="1:20" x14ac:dyDescent="0.3">
      <c r="A10" s="4" t="s">
        <v>23</v>
      </c>
      <c r="B10" s="5">
        <v>2039</v>
      </c>
      <c r="C10" s="5">
        <v>134574</v>
      </c>
      <c r="D10" s="6"/>
      <c r="E10" s="4" t="s">
        <v>24</v>
      </c>
      <c r="F10" s="5">
        <v>5266</v>
      </c>
      <c r="G10" s="5">
        <v>428750</v>
      </c>
      <c r="H10" s="5">
        <v>170000</v>
      </c>
      <c r="J10" s="4" t="s">
        <v>20</v>
      </c>
      <c r="K10" s="5">
        <v>4200</v>
      </c>
      <c r="L10" s="5">
        <v>398665</v>
      </c>
      <c r="M10" s="6"/>
      <c r="N10" s="7" t="s">
        <v>25</v>
      </c>
      <c r="O10" s="7">
        <v>1859</v>
      </c>
      <c r="P10" s="7">
        <v>200431</v>
      </c>
      <c r="Q10" s="8">
        <v>198562</v>
      </c>
      <c r="S10" s="6">
        <f>+K45+B40</f>
        <v>1256439.6979639851</v>
      </c>
      <c r="T10">
        <f>+[1]REPORTE!B5/[1]REPORTE!B4</f>
        <v>1</v>
      </c>
    </row>
    <row r="11" spans="1:20" x14ac:dyDescent="0.3">
      <c r="A11" s="4" t="s">
        <v>26</v>
      </c>
      <c r="B11" s="5">
        <v>14326</v>
      </c>
      <c r="C11" s="5">
        <v>1314427</v>
      </c>
      <c r="D11" s="6"/>
      <c r="E11" s="4" t="s">
        <v>27</v>
      </c>
      <c r="F11" s="5">
        <v>3810.5</v>
      </c>
      <c r="G11" s="5">
        <v>309868.5</v>
      </c>
      <c r="H11" s="5">
        <v>100000</v>
      </c>
      <c r="J11" s="4" t="s">
        <v>22</v>
      </c>
      <c r="K11" s="5">
        <v>5714</v>
      </c>
      <c r="L11" s="5">
        <v>553407</v>
      </c>
      <c r="M11" s="6"/>
      <c r="N11" s="7" t="s">
        <v>28</v>
      </c>
      <c r="O11" s="7">
        <v>694</v>
      </c>
      <c r="P11" s="7">
        <v>70462</v>
      </c>
      <c r="Q11" s="8">
        <v>46500</v>
      </c>
      <c r="S11" s="6">
        <f>+S9/S10</f>
        <v>26.187306524394085</v>
      </c>
      <c r="T11">
        <f>+S10/(6+T10)</f>
        <v>179491.38542342646</v>
      </c>
    </row>
    <row r="12" spans="1:20" x14ac:dyDescent="0.3">
      <c r="A12" s="4" t="s">
        <v>29</v>
      </c>
      <c r="B12" s="5">
        <v>165</v>
      </c>
      <c r="C12" s="5">
        <v>12375</v>
      </c>
      <c r="D12" s="6"/>
      <c r="E12" s="4" t="s">
        <v>30</v>
      </c>
      <c r="F12" s="5">
        <v>1282</v>
      </c>
      <c r="G12" s="5">
        <v>115380</v>
      </c>
      <c r="H12" s="5">
        <v>12450</v>
      </c>
      <c r="J12" s="4" t="s">
        <v>25</v>
      </c>
      <c r="K12" s="5">
        <v>16040</v>
      </c>
      <c r="L12" s="5">
        <v>1539684</v>
      </c>
      <c r="M12" s="6"/>
      <c r="N12" s="7" t="s">
        <v>31</v>
      </c>
      <c r="O12" s="7">
        <v>4000</v>
      </c>
      <c r="P12" s="7">
        <v>391205</v>
      </c>
      <c r="Q12" s="8">
        <v>231205</v>
      </c>
      <c r="S12">
        <f>+L45/K45</f>
        <v>89.723319885869444</v>
      </c>
    </row>
    <row r="13" spans="1:20" x14ac:dyDescent="0.3">
      <c r="A13" s="4" t="s">
        <v>16</v>
      </c>
      <c r="B13" s="5">
        <v>6483.5</v>
      </c>
      <c r="C13" s="5">
        <v>573396</v>
      </c>
      <c r="D13" s="6"/>
      <c r="E13" s="4" t="s">
        <v>32</v>
      </c>
      <c r="F13" s="5">
        <v>0</v>
      </c>
      <c r="G13" s="5">
        <v>0</v>
      </c>
      <c r="H13" s="5">
        <v>20000</v>
      </c>
      <c r="J13" s="4" t="s">
        <v>28</v>
      </c>
      <c r="K13" s="5">
        <v>10432</v>
      </c>
      <c r="L13" s="5">
        <v>953192</v>
      </c>
      <c r="M13" s="6"/>
      <c r="N13" s="7" t="s">
        <v>33</v>
      </c>
      <c r="O13" s="7">
        <v>1649</v>
      </c>
      <c r="P13" s="7">
        <v>170158</v>
      </c>
      <c r="Q13" s="8">
        <v>163820</v>
      </c>
      <c r="S13" s="6">
        <f>+C40/B40</f>
        <v>87.862022641340204</v>
      </c>
    </row>
    <row r="14" spans="1:20" x14ac:dyDescent="0.3">
      <c r="A14" s="4" t="s">
        <v>34</v>
      </c>
      <c r="B14" s="5">
        <v>37801.5</v>
      </c>
      <c r="C14" s="5">
        <v>3461131.5</v>
      </c>
      <c r="D14" s="6"/>
      <c r="E14" s="4" t="s">
        <v>35</v>
      </c>
      <c r="F14" s="5">
        <v>2604.5</v>
      </c>
      <c r="G14" s="5">
        <v>210964.5</v>
      </c>
      <c r="H14" s="5">
        <v>147500</v>
      </c>
      <c r="J14" s="4" t="s">
        <v>36</v>
      </c>
      <c r="K14" s="5">
        <v>3935</v>
      </c>
      <c r="L14" s="5">
        <v>296465</v>
      </c>
      <c r="M14" s="6"/>
      <c r="N14" s="7" t="s">
        <v>37</v>
      </c>
      <c r="O14" s="7">
        <v>399</v>
      </c>
      <c r="P14" s="7">
        <v>37107</v>
      </c>
      <c r="Q14" s="8">
        <v>27608</v>
      </c>
    </row>
    <row r="15" spans="1:20" x14ac:dyDescent="0.3">
      <c r="A15" s="4" t="s">
        <v>19</v>
      </c>
      <c r="B15" s="5">
        <v>7723</v>
      </c>
      <c r="C15" s="5">
        <v>617840</v>
      </c>
      <c r="D15" s="6"/>
      <c r="E15" s="4" t="s">
        <v>38</v>
      </c>
      <c r="F15" s="5">
        <v>598</v>
      </c>
      <c r="G15" s="5">
        <v>48438</v>
      </c>
      <c r="H15" s="5">
        <v>33000</v>
      </c>
      <c r="I15" s="6"/>
      <c r="J15" s="4" t="s">
        <v>31</v>
      </c>
      <c r="K15" s="5">
        <v>41707</v>
      </c>
      <c r="L15" s="5">
        <v>4127907</v>
      </c>
      <c r="M15" s="6"/>
      <c r="N15" s="7" t="s">
        <v>39</v>
      </c>
      <c r="O15" s="7">
        <v>4025</v>
      </c>
      <c r="P15" s="7">
        <v>426230</v>
      </c>
      <c r="Q15" s="8">
        <v>390525</v>
      </c>
    </row>
    <row r="16" spans="1:20" x14ac:dyDescent="0.3">
      <c r="A16" s="4" t="s">
        <v>40</v>
      </c>
      <c r="B16" s="5">
        <v>3481</v>
      </c>
      <c r="C16" s="5">
        <v>285838</v>
      </c>
      <c r="D16" s="6"/>
      <c r="E16" s="4" t="s">
        <v>41</v>
      </c>
      <c r="F16" s="5">
        <v>1818.5</v>
      </c>
      <c r="G16" s="5">
        <v>150935.5</v>
      </c>
      <c r="H16" s="5">
        <v>100000</v>
      </c>
      <c r="J16" s="4" t="s">
        <v>42</v>
      </c>
      <c r="K16" s="5">
        <v>948</v>
      </c>
      <c r="L16" s="5">
        <v>73940</v>
      </c>
      <c r="M16" s="6"/>
      <c r="N16" s="7" t="s">
        <v>43</v>
      </c>
      <c r="O16" s="7">
        <v>273</v>
      </c>
      <c r="P16" s="7">
        <v>38220</v>
      </c>
      <c r="Q16" s="8">
        <v>0</v>
      </c>
    </row>
    <row r="17" spans="1:18" x14ac:dyDescent="0.3">
      <c r="A17" s="4" t="s">
        <v>21</v>
      </c>
      <c r="B17" s="5">
        <v>19401.5</v>
      </c>
      <c r="C17" s="5">
        <v>1639026.25</v>
      </c>
      <c r="D17" s="6"/>
      <c r="E17" s="4" t="s">
        <v>44</v>
      </c>
      <c r="F17" s="5">
        <v>2384</v>
      </c>
      <c r="G17" s="5">
        <v>193104</v>
      </c>
      <c r="H17" s="5">
        <v>90000</v>
      </c>
      <c r="J17" s="4" t="s">
        <v>45</v>
      </c>
      <c r="K17" s="5">
        <v>120</v>
      </c>
      <c r="L17" s="5">
        <v>13200</v>
      </c>
      <c r="M17" s="6"/>
      <c r="N17" s="7" t="s">
        <v>46</v>
      </c>
      <c r="O17" s="7">
        <v>140</v>
      </c>
      <c r="P17" s="7">
        <v>14910</v>
      </c>
      <c r="Q17" s="8">
        <v>14910</v>
      </c>
    </row>
    <row r="18" spans="1:18" x14ac:dyDescent="0.3">
      <c r="A18" s="4" t="s">
        <v>47</v>
      </c>
      <c r="B18" s="5">
        <v>5917</v>
      </c>
      <c r="C18" s="5">
        <v>378927</v>
      </c>
      <c r="D18" s="6"/>
      <c r="E18" s="4" t="s">
        <v>48</v>
      </c>
      <c r="F18" s="5">
        <v>101</v>
      </c>
      <c r="G18" s="5">
        <v>8383</v>
      </c>
      <c r="H18" s="5">
        <v>0</v>
      </c>
      <c r="J18" s="4" t="s">
        <v>33</v>
      </c>
      <c r="K18" s="5">
        <v>3707</v>
      </c>
      <c r="L18" s="5">
        <v>394504</v>
      </c>
      <c r="M18" s="6"/>
      <c r="N18" s="7" t="s">
        <v>49</v>
      </c>
      <c r="O18" s="7">
        <v>1922</v>
      </c>
      <c r="P18" s="7">
        <v>196044</v>
      </c>
      <c r="Q18" s="8">
        <v>0</v>
      </c>
    </row>
    <row r="19" spans="1:18" x14ac:dyDescent="0.3">
      <c r="A19" s="4" t="s">
        <v>50</v>
      </c>
      <c r="B19" s="5">
        <v>792</v>
      </c>
      <c r="C19" s="5">
        <v>56089</v>
      </c>
      <c r="D19" s="6"/>
      <c r="E19" s="4" t="s">
        <v>51</v>
      </c>
      <c r="F19" s="5">
        <v>4986.5</v>
      </c>
      <c r="G19" s="5">
        <v>439221.5</v>
      </c>
      <c r="H19" s="5">
        <v>0</v>
      </c>
      <c r="J19" s="4" t="s">
        <v>37</v>
      </c>
      <c r="K19" s="5">
        <v>5080</v>
      </c>
      <c r="L19" s="5">
        <v>493922</v>
      </c>
      <c r="M19" s="6"/>
      <c r="N19" s="7" t="s">
        <v>52</v>
      </c>
      <c r="O19" s="7">
        <v>0</v>
      </c>
      <c r="P19" s="7">
        <v>0</v>
      </c>
      <c r="Q19" s="8">
        <v>20000</v>
      </c>
    </row>
    <row r="20" spans="1:18" x14ac:dyDescent="0.3">
      <c r="A20" s="4" t="s">
        <v>24</v>
      </c>
      <c r="B20" s="5">
        <v>83801</v>
      </c>
      <c r="C20" s="5">
        <v>7202295.75</v>
      </c>
      <c r="D20" s="6"/>
      <c r="E20" s="9" t="s">
        <v>53</v>
      </c>
      <c r="F20" s="10">
        <f ca="1">SUM(F3:F20)</f>
        <v>49419</v>
      </c>
      <c r="G20" s="10">
        <f ca="1">SUM(G3:G20)</f>
        <v>3804341</v>
      </c>
      <c r="H20" s="10">
        <f ca="1">SUM(H3:H20)</f>
        <v>2797856.8</v>
      </c>
      <c r="J20" s="4" t="s">
        <v>39</v>
      </c>
      <c r="K20" s="5">
        <v>35807</v>
      </c>
      <c r="L20" s="5">
        <v>3356555</v>
      </c>
      <c r="M20" s="6"/>
      <c r="N20" s="7" t="s">
        <v>47</v>
      </c>
      <c r="O20" s="7">
        <v>4892</v>
      </c>
      <c r="P20" s="7">
        <v>359072</v>
      </c>
      <c r="Q20" s="8">
        <v>352000</v>
      </c>
    </row>
    <row r="21" spans="1:18" x14ac:dyDescent="0.3">
      <c r="A21" s="4" t="s">
        <v>54</v>
      </c>
      <c r="B21" s="5">
        <v>3825.5</v>
      </c>
      <c r="C21" s="5">
        <v>341166</v>
      </c>
      <c r="D21" s="6"/>
      <c r="E21" s="11"/>
      <c r="F21" s="12"/>
      <c r="G21" s="12"/>
      <c r="H21" s="12"/>
      <c r="J21" s="4" t="s">
        <v>43</v>
      </c>
      <c r="K21" s="4">
        <v>15376</v>
      </c>
      <c r="L21" s="4">
        <v>1421132</v>
      </c>
      <c r="M21" s="6"/>
      <c r="N21" s="7" t="s">
        <v>55</v>
      </c>
      <c r="O21" s="7">
        <v>1175</v>
      </c>
      <c r="P21" s="7">
        <v>103400</v>
      </c>
      <c r="Q21" s="8">
        <v>81880</v>
      </c>
    </row>
    <row r="22" spans="1:18" x14ac:dyDescent="0.3">
      <c r="A22" s="4" t="s">
        <v>56</v>
      </c>
      <c r="B22" s="5">
        <v>204</v>
      </c>
      <c r="C22" s="5">
        <v>13464</v>
      </c>
      <c r="D22" s="6"/>
      <c r="E22" s="11"/>
      <c r="F22" s="12"/>
      <c r="G22" s="12"/>
      <c r="H22" s="12"/>
      <c r="J22" s="4" t="s">
        <v>46</v>
      </c>
      <c r="K22" s="4">
        <v>140</v>
      </c>
      <c r="L22" s="4">
        <v>14910</v>
      </c>
      <c r="M22" s="6"/>
      <c r="N22" s="7" t="s">
        <v>57</v>
      </c>
      <c r="O22" s="7">
        <v>3420</v>
      </c>
      <c r="P22" s="7">
        <v>358801</v>
      </c>
      <c r="Q22" s="8">
        <v>139000</v>
      </c>
    </row>
    <row r="23" spans="1:18" x14ac:dyDescent="0.3">
      <c r="A23" s="4" t="s">
        <v>27</v>
      </c>
      <c r="B23" s="5">
        <v>71816</v>
      </c>
      <c r="C23" s="5">
        <v>6119651.25</v>
      </c>
      <c r="D23" s="6"/>
      <c r="E23" s="11"/>
      <c r="F23" s="12"/>
      <c r="G23" s="12"/>
      <c r="H23" s="12"/>
      <c r="J23" s="4" t="s">
        <v>58</v>
      </c>
      <c r="K23" s="4">
        <v>509.5</v>
      </c>
      <c r="L23" s="4">
        <v>37350.5</v>
      </c>
      <c r="M23" s="6"/>
      <c r="N23" s="7" t="s">
        <v>59</v>
      </c>
      <c r="O23" s="7">
        <v>399</v>
      </c>
      <c r="P23" s="7">
        <v>37107</v>
      </c>
      <c r="Q23" s="8">
        <v>50000</v>
      </c>
    </row>
    <row r="24" spans="1:18" x14ac:dyDescent="0.3">
      <c r="A24" s="4" t="s">
        <v>60</v>
      </c>
      <c r="B24" s="5">
        <v>2223</v>
      </c>
      <c r="C24" s="5">
        <v>191010</v>
      </c>
      <c r="D24" s="6"/>
      <c r="E24" s="11"/>
      <c r="F24" s="12"/>
      <c r="G24" s="12"/>
      <c r="H24" s="12"/>
      <c r="J24" s="4" t="s">
        <v>61</v>
      </c>
      <c r="K24" s="4">
        <v>545</v>
      </c>
      <c r="L24" s="4">
        <v>58655</v>
      </c>
      <c r="M24" s="6"/>
      <c r="N24" s="7" t="s">
        <v>62</v>
      </c>
      <c r="O24" s="7">
        <v>205</v>
      </c>
      <c r="P24" s="7">
        <v>20765</v>
      </c>
      <c r="Q24" s="8">
        <v>20765</v>
      </c>
    </row>
    <row r="25" spans="1:18" x14ac:dyDescent="0.3">
      <c r="A25" s="4" t="s">
        <v>63</v>
      </c>
      <c r="B25" s="5">
        <v>2435</v>
      </c>
      <c r="C25" s="5">
        <v>212023.5</v>
      </c>
      <c r="D25" s="6"/>
      <c r="E25" s="11"/>
      <c r="F25" s="12"/>
      <c r="G25" s="12"/>
      <c r="H25" s="12"/>
      <c r="J25" s="4" t="s">
        <v>49</v>
      </c>
      <c r="K25" s="4">
        <v>3317</v>
      </c>
      <c r="L25" s="4">
        <v>325386</v>
      </c>
      <c r="M25" s="6"/>
      <c r="N25" s="7" t="s">
        <v>64</v>
      </c>
      <c r="O25" s="7">
        <v>290</v>
      </c>
      <c r="P25" s="7">
        <v>29580</v>
      </c>
      <c r="Q25" s="8">
        <v>31000</v>
      </c>
    </row>
    <row r="26" spans="1:18" x14ac:dyDescent="0.3">
      <c r="A26" s="4" t="s">
        <v>65</v>
      </c>
      <c r="B26" s="5">
        <v>7031</v>
      </c>
      <c r="C26" s="5">
        <v>514444</v>
      </c>
      <c r="D26" s="6"/>
      <c r="E26" s="11"/>
      <c r="F26" s="12"/>
      <c r="G26" s="12"/>
      <c r="H26" s="12"/>
      <c r="I26" s="13"/>
      <c r="J26" s="4" t="s">
        <v>52</v>
      </c>
      <c r="K26" s="4">
        <v>3701</v>
      </c>
      <c r="L26" s="4">
        <v>365011</v>
      </c>
      <c r="M26" s="6"/>
      <c r="N26" s="7" t="s">
        <v>48</v>
      </c>
      <c r="O26" s="7">
        <v>1250</v>
      </c>
      <c r="P26" s="7">
        <v>112500</v>
      </c>
      <c r="Q26" s="8">
        <v>100000</v>
      </c>
    </row>
    <row r="27" spans="1:18" ht="15" thickBot="1" x14ac:dyDescent="0.35">
      <c r="A27" s="4" t="s">
        <v>66</v>
      </c>
      <c r="B27" s="5">
        <v>9130</v>
      </c>
      <c r="C27" s="5">
        <v>770336</v>
      </c>
      <c r="D27" s="6"/>
      <c r="E27" s="11"/>
      <c r="F27" s="12"/>
      <c r="G27" s="12"/>
      <c r="H27" s="12"/>
      <c r="I27" s="13"/>
      <c r="J27" s="4" t="s">
        <v>47</v>
      </c>
      <c r="K27" s="4">
        <v>40013</v>
      </c>
      <c r="L27" s="4">
        <v>2673836</v>
      </c>
      <c r="M27" s="6"/>
      <c r="N27" s="9" t="s">
        <v>53</v>
      </c>
      <c r="O27" s="10">
        <f>SUM(O3:O26)</f>
        <v>34664.400000000001</v>
      </c>
      <c r="P27" s="10">
        <f>SUM(P3:P26)</f>
        <v>3338843</v>
      </c>
      <c r="Q27" s="10">
        <f>SUM(Q3:Q26)</f>
        <v>2566702</v>
      </c>
    </row>
    <row r="28" spans="1:18" ht="15" thickBot="1" x14ac:dyDescent="0.35">
      <c r="A28" s="4" t="s">
        <v>67</v>
      </c>
      <c r="B28" s="5">
        <v>190</v>
      </c>
      <c r="C28" s="5">
        <v>18430</v>
      </c>
      <c r="D28" s="6"/>
      <c r="E28" s="14" t="s">
        <v>68</v>
      </c>
      <c r="F28" s="15">
        <f ca="1">+F20-F4-F5-F7</f>
        <v>30888.5</v>
      </c>
      <c r="G28" s="15">
        <f ca="1">+G20-G4-G5-G7</f>
        <v>2357757.5</v>
      </c>
      <c r="H28" s="16">
        <f ca="1">+H20-H4-H5-H7</f>
        <v>1213299.9999999998</v>
      </c>
      <c r="J28" s="4" t="s">
        <v>55</v>
      </c>
      <c r="K28" s="4">
        <v>3990</v>
      </c>
      <c r="L28" s="4">
        <v>351120</v>
      </c>
      <c r="R28" s="6"/>
    </row>
    <row r="29" spans="1:18" ht="15" thickBot="1" x14ac:dyDescent="0.35">
      <c r="A29" s="4" t="s">
        <v>32</v>
      </c>
      <c r="B29" s="5">
        <v>1014</v>
      </c>
      <c r="C29" s="5">
        <v>88218</v>
      </c>
      <c r="D29" s="6"/>
      <c r="E29" s="17" t="s">
        <v>69</v>
      </c>
      <c r="F29" s="18">
        <f>+F4+F5</f>
        <v>18129</v>
      </c>
      <c r="G29" s="18">
        <f>+G4+G5</f>
        <v>1414062</v>
      </c>
      <c r="H29" s="19">
        <f>+H4+H5</f>
        <v>1584556.8</v>
      </c>
      <c r="J29" s="4" t="s">
        <v>57</v>
      </c>
      <c r="K29" s="4">
        <v>14773</v>
      </c>
      <c r="L29" s="4">
        <v>1550133</v>
      </c>
      <c r="O29" s="20">
        <f>+O27-O20</f>
        <v>29772.400000000001</v>
      </c>
      <c r="P29" s="20">
        <f>+P27-P20</f>
        <v>2979771</v>
      </c>
    </row>
    <row r="30" spans="1:18" ht="15" thickBot="1" x14ac:dyDescent="0.35">
      <c r="A30" s="4" t="s">
        <v>35</v>
      </c>
      <c r="B30" s="5">
        <v>41819</v>
      </c>
      <c r="C30" s="5">
        <v>3347313</v>
      </c>
      <c r="D30" s="6"/>
      <c r="E30" s="21" t="s">
        <v>70</v>
      </c>
      <c r="F30" s="22">
        <f>+F7</f>
        <v>401.5</v>
      </c>
      <c r="G30" s="22">
        <f>+G7</f>
        <v>32521.5</v>
      </c>
      <c r="H30" s="23">
        <f>+H7</f>
        <v>0</v>
      </c>
      <c r="J30" s="4" t="s">
        <v>71</v>
      </c>
      <c r="K30" s="4">
        <v>142</v>
      </c>
      <c r="L30" s="4">
        <v>9088</v>
      </c>
    </row>
    <row r="31" spans="1:18" ht="15" thickBot="1" x14ac:dyDescent="0.35">
      <c r="A31" s="4" t="s">
        <v>38</v>
      </c>
      <c r="B31" s="5">
        <v>14003</v>
      </c>
      <c r="C31" s="5">
        <v>1200754.25</v>
      </c>
      <c r="D31" s="6"/>
      <c r="E31" s="24" t="s">
        <v>72</v>
      </c>
      <c r="F31" s="25">
        <f ca="1">+F30+F29+F28</f>
        <v>49419</v>
      </c>
      <c r="G31" s="26">
        <f ca="1">+G30+G29+G28</f>
        <v>3804341</v>
      </c>
      <c r="H31" s="27">
        <f ca="1">+H30+H29+H28</f>
        <v>2797856.8</v>
      </c>
      <c r="J31" s="4" t="s">
        <v>73</v>
      </c>
      <c r="K31" s="4">
        <v>335</v>
      </c>
      <c r="L31" s="4">
        <v>36105</v>
      </c>
    </row>
    <row r="32" spans="1:18" x14ac:dyDescent="0.3">
      <c r="A32" s="4" t="s">
        <v>41</v>
      </c>
      <c r="B32" s="5">
        <v>4027.5</v>
      </c>
      <c r="C32" s="5">
        <v>362773</v>
      </c>
      <c r="D32" s="12"/>
      <c r="E32" s="14" t="s">
        <v>74</v>
      </c>
      <c r="F32" s="28">
        <f ca="1">+H28-G28</f>
        <v>-1144457.5000000002</v>
      </c>
      <c r="G32" s="28"/>
      <c r="H32" s="29"/>
      <c r="J32" s="4" t="s">
        <v>75</v>
      </c>
      <c r="K32" s="4">
        <v>3257</v>
      </c>
      <c r="L32" s="4">
        <v>261876</v>
      </c>
    </row>
    <row r="33" spans="1:25" x14ac:dyDescent="0.3">
      <c r="A33" s="4" t="s">
        <v>76</v>
      </c>
      <c r="B33" s="5">
        <v>3857.5</v>
      </c>
      <c r="C33" s="5">
        <v>347997.5</v>
      </c>
      <c r="E33" s="17" t="s">
        <v>77</v>
      </c>
      <c r="F33" s="30">
        <f>+H29-G29</f>
        <v>170494.80000000005</v>
      </c>
      <c r="G33" s="30"/>
      <c r="H33" s="31"/>
      <c r="J33" s="4" t="s">
        <v>59</v>
      </c>
      <c r="K33" s="4">
        <v>14537</v>
      </c>
      <c r="L33" s="4">
        <v>1443462</v>
      </c>
    </row>
    <row r="34" spans="1:25" ht="15" thickBot="1" x14ac:dyDescent="0.35">
      <c r="A34" s="4" t="s">
        <v>44</v>
      </c>
      <c r="B34" s="5">
        <v>59204.5</v>
      </c>
      <c r="C34" s="5">
        <v>4960240.5</v>
      </c>
      <c r="E34" s="32" t="s">
        <v>78</v>
      </c>
      <c r="F34" s="33">
        <f>+H30-G30</f>
        <v>-32521.5</v>
      </c>
      <c r="G34" s="33"/>
      <c r="H34" s="34"/>
      <c r="J34" s="4" t="s">
        <v>62</v>
      </c>
      <c r="K34" s="4">
        <v>205</v>
      </c>
      <c r="L34" s="4">
        <v>20765</v>
      </c>
    </row>
    <row r="35" spans="1:25" ht="15" thickBot="1" x14ac:dyDescent="0.35">
      <c r="A35" s="4" t="s">
        <v>79</v>
      </c>
      <c r="B35" s="5">
        <v>3158.5</v>
      </c>
      <c r="C35" s="5">
        <v>240098</v>
      </c>
      <c r="E35" s="35" t="s">
        <v>80</v>
      </c>
      <c r="F35" s="36"/>
      <c r="G35" s="37">
        <f ca="1">+H31-G31</f>
        <v>-1006484.2000000002</v>
      </c>
      <c r="H35" s="38">
        <f ca="1">(+F32+F33+F34)-G35</f>
        <v>0</v>
      </c>
      <c r="J35" s="4" t="s">
        <v>67</v>
      </c>
      <c r="K35" s="4">
        <v>225</v>
      </c>
      <c r="L35" s="4">
        <v>0</v>
      </c>
    </row>
    <row r="36" spans="1:25" ht="15" thickBot="1" x14ac:dyDescent="0.35">
      <c r="A36" s="4" t="s">
        <v>81</v>
      </c>
      <c r="B36" s="5">
        <v>9975</v>
      </c>
      <c r="C36" s="5">
        <v>794643</v>
      </c>
      <c r="J36" s="4" t="s">
        <v>64</v>
      </c>
      <c r="K36" s="4">
        <v>290</v>
      </c>
      <c r="L36" s="4">
        <v>29580</v>
      </c>
    </row>
    <row r="37" spans="1:25" ht="15" thickBot="1" x14ac:dyDescent="0.35">
      <c r="A37" s="4" t="s">
        <v>48</v>
      </c>
      <c r="B37" s="5">
        <v>24430.5</v>
      </c>
      <c r="C37" s="5">
        <v>1918069.5</v>
      </c>
      <c r="E37" s="39" t="s">
        <v>82</v>
      </c>
      <c r="F37" s="40"/>
      <c r="J37" s="4" t="s">
        <v>83</v>
      </c>
      <c r="K37" s="4">
        <v>956</v>
      </c>
      <c r="L37" s="4">
        <v>104204</v>
      </c>
    </row>
    <row r="38" spans="1:25" ht="15" thickBot="1" x14ac:dyDescent="0.35">
      <c r="A38" s="4" t="s">
        <v>51</v>
      </c>
      <c r="B38" s="5">
        <v>13522.5</v>
      </c>
      <c r="C38" s="5">
        <v>1264592.5</v>
      </c>
      <c r="E38" s="41" t="s">
        <v>84</v>
      </c>
      <c r="F38" s="42">
        <f ca="1">+G28/F28</f>
        <v>76.331239781795816</v>
      </c>
      <c r="G38" s="6"/>
      <c r="J38" s="4" t="s">
        <v>85</v>
      </c>
      <c r="K38" s="4">
        <v>760</v>
      </c>
      <c r="L38" s="4">
        <v>69815</v>
      </c>
    </row>
    <row r="39" spans="1:25" ht="15" thickBot="1" x14ac:dyDescent="0.35">
      <c r="A39" s="4" t="s">
        <v>86</v>
      </c>
      <c r="B39" s="5">
        <v>3658</v>
      </c>
      <c r="C39" s="5">
        <v>337044</v>
      </c>
      <c r="E39" s="43" t="s">
        <v>87</v>
      </c>
      <c r="F39" s="44">
        <f>+G29/F29</f>
        <v>78</v>
      </c>
      <c r="G39" s="45">
        <f>+P29/O29</f>
        <v>100.08501162150179</v>
      </c>
      <c r="J39" s="4" t="s">
        <v>88</v>
      </c>
      <c r="K39" s="4">
        <v>3709</v>
      </c>
      <c r="L39" s="4">
        <v>392798.5</v>
      </c>
    </row>
    <row r="40" spans="1:25" ht="15" thickBot="1" x14ac:dyDescent="0.35">
      <c r="A40" s="9" t="s">
        <v>89</v>
      </c>
      <c r="B40" s="10">
        <f>SUM(B3:B39)</f>
        <v>891952.5</v>
      </c>
      <c r="C40" s="10">
        <f>SUM(C3:C39)</f>
        <v>78368750.75</v>
      </c>
      <c r="E40" s="41" t="s">
        <v>90</v>
      </c>
      <c r="F40" s="44">
        <f>+G30/F30</f>
        <v>81</v>
      </c>
      <c r="J40" s="4" t="s">
        <v>91</v>
      </c>
      <c r="K40" s="4">
        <v>1709</v>
      </c>
      <c r="L40" s="4">
        <v>147674</v>
      </c>
    </row>
    <row r="41" spans="1:25" x14ac:dyDescent="0.3">
      <c r="J41" s="4" t="s">
        <v>92</v>
      </c>
      <c r="K41" s="4">
        <v>185</v>
      </c>
      <c r="L41" s="4">
        <v>14615</v>
      </c>
    </row>
    <row r="42" spans="1:25" x14ac:dyDescent="0.3">
      <c r="J42" s="4" t="s">
        <v>93</v>
      </c>
      <c r="K42" s="4">
        <v>72</v>
      </c>
      <c r="L42" s="4">
        <v>5400</v>
      </c>
    </row>
    <row r="43" spans="1:25" x14ac:dyDescent="0.3">
      <c r="E43" s="46"/>
      <c r="F43" s="47"/>
      <c r="J43" s="4" t="s">
        <v>48</v>
      </c>
      <c r="K43" s="4">
        <v>7438</v>
      </c>
      <c r="L43" s="4">
        <v>734602</v>
      </c>
    </row>
    <row r="44" spans="1:25" x14ac:dyDescent="0.3">
      <c r="C44" s="6"/>
      <c r="E44" s="46"/>
      <c r="F44" s="47"/>
      <c r="J44" s="4" t="s">
        <v>94</v>
      </c>
      <c r="K44" s="4">
        <v>300</v>
      </c>
      <c r="L44" s="4">
        <v>32100</v>
      </c>
      <c r="U44" s="9" t="s">
        <v>95</v>
      </c>
      <c r="V44" s="9" t="s">
        <v>96</v>
      </c>
      <c r="W44" s="9" t="s">
        <v>97</v>
      </c>
    </row>
    <row r="45" spans="1:25" x14ac:dyDescent="0.3">
      <c r="C45" s="6"/>
      <c r="J45" s="9" t="s">
        <v>53</v>
      </c>
      <c r="K45" s="10">
        <f>SUM(K3:K44)</f>
        <v>364487.19796398503</v>
      </c>
      <c r="L45" s="10">
        <f>SUM(L3:L44)</f>
        <v>32703001.45722685</v>
      </c>
      <c r="U45" s="9"/>
      <c r="V45" s="9"/>
      <c r="W45" s="9"/>
    </row>
    <row r="46" spans="1:25" x14ac:dyDescent="0.3">
      <c r="C46" s="6"/>
      <c r="U46" s="9"/>
      <c r="V46" s="9"/>
      <c r="W46" s="9"/>
    </row>
    <row r="47" spans="1:25" x14ac:dyDescent="0.3">
      <c r="C47" s="6"/>
      <c r="U47" s="9"/>
      <c r="V47" s="9"/>
      <c r="W47" s="9"/>
    </row>
    <row r="48" spans="1:25" x14ac:dyDescent="0.3">
      <c r="A48" s="48"/>
      <c r="B48" s="49">
        <f>+B40-[1]VTAIND!D47</f>
        <v>477539.8</v>
      </c>
      <c r="C48" s="49">
        <f>+C40-[1]VTAIND!E47</f>
        <v>45465979.25</v>
      </c>
      <c r="D48" s="48"/>
      <c r="E48" s="48"/>
      <c r="F48" s="49">
        <f ca="1">+F20-[1]VTAIND!D224</f>
        <v>0</v>
      </c>
      <c r="G48" s="49">
        <f ca="1">+G20-[1]VTAIND!E224</f>
        <v>0</v>
      </c>
      <c r="H48" s="49">
        <f ca="1">+H20-[1]VTAIND!F224</f>
        <v>0</v>
      </c>
      <c r="I48" s="48"/>
      <c r="J48" s="48"/>
      <c r="K48" s="49">
        <f>+K45-[1]VTAOVI!D62</f>
        <v>364487.19796398503</v>
      </c>
      <c r="L48" s="49">
        <f>+L45-[1]VTAOVI!E62</f>
        <v>32703001.45722685</v>
      </c>
      <c r="M48" s="48"/>
      <c r="N48" s="48"/>
      <c r="O48" s="49">
        <f>+O27-[1]VTAOVI!D455</f>
        <v>0</v>
      </c>
      <c r="P48" s="49">
        <f>+P27-[1]VTAOVI!E455</f>
        <v>3338843</v>
      </c>
      <c r="Q48" s="49">
        <f>+Q27-[1]VTAOVI!F455</f>
        <v>0</v>
      </c>
      <c r="R48" s="48"/>
      <c r="S48" s="48"/>
      <c r="T48" s="50"/>
      <c r="U48" s="51">
        <f>+[2]PROD!$Q$671</f>
        <v>500467.82</v>
      </c>
      <c r="V48" s="51">
        <f>+B40</f>
        <v>891952.5</v>
      </c>
      <c r="W48" s="51">
        <f>+[1]CXC!BM118/Y48</f>
        <v>313467.141684503</v>
      </c>
      <c r="X48" s="48"/>
      <c r="Y48" s="48">
        <f>+C40/B40</f>
        <v>87.862022641340204</v>
      </c>
    </row>
    <row r="49" spans="1:25" x14ac:dyDescent="0.3">
      <c r="D49" s="6"/>
      <c r="T49" s="9" t="s">
        <v>98</v>
      </c>
      <c r="U49" s="10">
        <f>+[2]PROD!$R$671</f>
        <v>168266.32</v>
      </c>
      <c r="V49" s="10">
        <f>+K45</f>
        <v>364487.19796398503</v>
      </c>
      <c r="W49" s="10">
        <f>+[1]CXC!BM195/Y49</f>
        <v>0</v>
      </c>
      <c r="Y49">
        <f>+L45/K45</f>
        <v>89.723319885869444</v>
      </c>
    </row>
    <row r="50" spans="1:25" x14ac:dyDescent="0.3">
      <c r="B50" s="6"/>
      <c r="C50" s="6"/>
      <c r="D50" s="6"/>
      <c r="T50" s="9" t="s">
        <v>99</v>
      </c>
      <c r="U50" s="10">
        <f>SUM(U48:U49)</f>
        <v>668734.14</v>
      </c>
      <c r="V50" s="10">
        <f>SUM(V48:V49)</f>
        <v>1256439.6979639851</v>
      </c>
      <c r="W50" s="10">
        <f>SUM(W48:W49)</f>
        <v>313467.141684503</v>
      </c>
    </row>
    <row r="51" spans="1:25" x14ac:dyDescent="0.3">
      <c r="B51" s="6"/>
      <c r="C51" s="6"/>
      <c r="D51" s="6"/>
      <c r="T51" s="9" t="s">
        <v>100</v>
      </c>
    </row>
    <row r="53" spans="1:25" x14ac:dyDescent="0.3">
      <c r="A53" s="52" t="s">
        <v>8</v>
      </c>
      <c r="B53" s="53">
        <v>0</v>
      </c>
      <c r="C53" s="53">
        <v>0</v>
      </c>
      <c r="E53" t="s">
        <v>8</v>
      </c>
      <c r="F53">
        <v>0</v>
      </c>
      <c r="G53">
        <v>0</v>
      </c>
      <c r="H53">
        <v>0</v>
      </c>
      <c r="J53" t="s">
        <v>101</v>
      </c>
      <c r="K53">
        <v>0</v>
      </c>
      <c r="L53">
        <v>0</v>
      </c>
      <c r="N53" t="s">
        <v>10</v>
      </c>
      <c r="O53">
        <v>0</v>
      </c>
      <c r="P53">
        <v>0</v>
      </c>
      <c r="Q53">
        <v>0</v>
      </c>
    </row>
    <row r="54" spans="1:25" x14ac:dyDescent="0.3">
      <c r="A54" s="54" t="s">
        <v>10</v>
      </c>
      <c r="B54" s="53">
        <v>0</v>
      </c>
      <c r="C54" s="53">
        <v>0</v>
      </c>
      <c r="E54" t="s">
        <v>10</v>
      </c>
      <c r="F54" s="6">
        <v>0</v>
      </c>
      <c r="G54" s="6">
        <v>0</v>
      </c>
      <c r="H54">
        <v>0</v>
      </c>
      <c r="J54" t="s">
        <v>7</v>
      </c>
      <c r="K54">
        <v>0</v>
      </c>
      <c r="L54">
        <v>0</v>
      </c>
      <c r="N54" t="s">
        <v>102</v>
      </c>
      <c r="O54">
        <v>0</v>
      </c>
      <c r="P54">
        <v>0</v>
      </c>
      <c r="Q54">
        <v>0</v>
      </c>
    </row>
    <row r="55" spans="1:25" x14ac:dyDescent="0.3">
      <c r="A55" s="55" t="s">
        <v>103</v>
      </c>
      <c r="B55" s="53">
        <v>0</v>
      </c>
      <c r="C55" s="53">
        <v>0</v>
      </c>
      <c r="E55" t="s">
        <v>4</v>
      </c>
      <c r="F55">
        <v>0</v>
      </c>
      <c r="G55">
        <v>0</v>
      </c>
      <c r="H55">
        <v>0</v>
      </c>
      <c r="J55" t="s">
        <v>9</v>
      </c>
      <c r="K55">
        <v>0</v>
      </c>
      <c r="L55">
        <v>0</v>
      </c>
      <c r="N55" t="s">
        <v>104</v>
      </c>
      <c r="O55" s="6">
        <v>0</v>
      </c>
      <c r="P55" s="6">
        <v>0</v>
      </c>
      <c r="Q55" s="6">
        <v>0</v>
      </c>
    </row>
    <row r="56" spans="1:25" x14ac:dyDescent="0.3">
      <c r="A56" s="54" t="s">
        <v>105</v>
      </c>
      <c r="B56" s="53">
        <v>0</v>
      </c>
      <c r="C56" s="53">
        <v>0</v>
      </c>
      <c r="E56" t="s">
        <v>14</v>
      </c>
      <c r="F56">
        <v>0</v>
      </c>
      <c r="G56">
        <v>0</v>
      </c>
      <c r="H56">
        <v>0</v>
      </c>
      <c r="J56" t="s">
        <v>106</v>
      </c>
      <c r="K56">
        <v>0</v>
      </c>
      <c r="L56">
        <v>0</v>
      </c>
      <c r="N56" t="s">
        <v>106</v>
      </c>
      <c r="O56">
        <v>0</v>
      </c>
      <c r="P56">
        <v>0</v>
      </c>
      <c r="Q56">
        <v>0</v>
      </c>
    </row>
    <row r="57" spans="1:25" x14ac:dyDescent="0.3">
      <c r="A57" s="55" t="s">
        <v>107</v>
      </c>
      <c r="B57" s="53">
        <v>0</v>
      </c>
      <c r="C57" s="53">
        <v>0</v>
      </c>
      <c r="E57" t="s">
        <v>23</v>
      </c>
      <c r="F57">
        <v>0</v>
      </c>
      <c r="G57">
        <v>0</v>
      </c>
      <c r="H57">
        <v>0</v>
      </c>
      <c r="J57" t="s">
        <v>108</v>
      </c>
      <c r="K57">
        <v>0</v>
      </c>
      <c r="L57">
        <v>0</v>
      </c>
      <c r="N57" t="s">
        <v>109</v>
      </c>
      <c r="O57">
        <v>0</v>
      </c>
      <c r="P57">
        <v>0</v>
      </c>
      <c r="Q57">
        <v>0</v>
      </c>
    </row>
    <row r="58" spans="1:25" x14ac:dyDescent="0.3">
      <c r="A58" s="54" t="s">
        <v>39</v>
      </c>
      <c r="B58" s="53">
        <v>0</v>
      </c>
      <c r="C58" s="53">
        <v>0</v>
      </c>
      <c r="E58" t="s">
        <v>34</v>
      </c>
      <c r="F58">
        <v>0</v>
      </c>
      <c r="G58">
        <v>0</v>
      </c>
      <c r="H58">
        <v>0</v>
      </c>
      <c r="J58" t="s">
        <v>110</v>
      </c>
      <c r="K58">
        <v>0</v>
      </c>
      <c r="L58">
        <v>0</v>
      </c>
      <c r="N58" t="s">
        <v>111</v>
      </c>
      <c r="O58">
        <v>0</v>
      </c>
      <c r="P58">
        <v>0</v>
      </c>
      <c r="Q58">
        <v>0</v>
      </c>
    </row>
    <row r="59" spans="1:25" x14ac:dyDescent="0.3">
      <c r="A59" s="54" t="s">
        <v>112</v>
      </c>
      <c r="B59" s="53">
        <v>0</v>
      </c>
      <c r="C59" s="53">
        <v>0</v>
      </c>
      <c r="E59" t="s">
        <v>26</v>
      </c>
      <c r="F59">
        <v>0</v>
      </c>
      <c r="G59">
        <v>0</v>
      </c>
      <c r="H59">
        <v>0</v>
      </c>
      <c r="J59" t="s">
        <v>113</v>
      </c>
      <c r="K59">
        <v>0</v>
      </c>
      <c r="L59">
        <v>0</v>
      </c>
      <c r="N59" t="s">
        <v>114</v>
      </c>
      <c r="O59">
        <v>0</v>
      </c>
      <c r="P59">
        <v>0</v>
      </c>
      <c r="Q59">
        <v>0</v>
      </c>
    </row>
    <row r="60" spans="1:25" x14ac:dyDescent="0.3">
      <c r="A60" s="54" t="s">
        <v>115</v>
      </c>
      <c r="B60" s="53">
        <v>0</v>
      </c>
      <c r="C60" s="53">
        <v>0</v>
      </c>
      <c r="E60" t="s">
        <v>47</v>
      </c>
      <c r="F60">
        <v>0</v>
      </c>
      <c r="G60">
        <v>0</v>
      </c>
      <c r="H60">
        <v>0</v>
      </c>
      <c r="J60" t="s">
        <v>114</v>
      </c>
      <c r="K60">
        <v>0</v>
      </c>
      <c r="L60">
        <v>0</v>
      </c>
      <c r="N60" t="s">
        <v>36</v>
      </c>
      <c r="O60">
        <v>0</v>
      </c>
      <c r="P60">
        <v>0</v>
      </c>
      <c r="Q60">
        <v>0</v>
      </c>
    </row>
    <row r="61" spans="1:25" x14ac:dyDescent="0.3">
      <c r="A61" s="54" t="s">
        <v>4</v>
      </c>
      <c r="B61" s="53">
        <v>7770</v>
      </c>
      <c r="C61" s="53">
        <v>576929</v>
      </c>
      <c r="E61" t="s">
        <v>56</v>
      </c>
      <c r="F61">
        <v>0</v>
      </c>
      <c r="G61">
        <v>0</v>
      </c>
      <c r="H61">
        <v>0</v>
      </c>
      <c r="J61" t="s">
        <v>116</v>
      </c>
      <c r="K61">
        <v>0</v>
      </c>
      <c r="L61">
        <v>0</v>
      </c>
      <c r="N61" t="s">
        <v>67</v>
      </c>
      <c r="O61">
        <v>0</v>
      </c>
      <c r="P61">
        <v>0</v>
      </c>
      <c r="Q61">
        <v>0</v>
      </c>
    </row>
    <row r="62" spans="1:25" x14ac:dyDescent="0.3">
      <c r="A62" s="55" t="s">
        <v>5</v>
      </c>
      <c r="B62" s="53">
        <v>94450.5</v>
      </c>
      <c r="C62" s="53">
        <v>8118374.25</v>
      </c>
      <c r="E62" t="s">
        <v>65</v>
      </c>
      <c r="F62">
        <v>0</v>
      </c>
      <c r="G62">
        <v>0</v>
      </c>
      <c r="H62">
        <v>0</v>
      </c>
      <c r="J62" t="s">
        <v>117</v>
      </c>
      <c r="K62">
        <v>0</v>
      </c>
      <c r="L62">
        <v>0</v>
      </c>
      <c r="N62" t="s">
        <v>91</v>
      </c>
      <c r="O62">
        <v>0</v>
      </c>
      <c r="P62">
        <v>0</v>
      </c>
      <c r="Q62">
        <v>0</v>
      </c>
    </row>
    <row r="63" spans="1:25" x14ac:dyDescent="0.3">
      <c r="A63" s="55" t="s">
        <v>7</v>
      </c>
      <c r="B63" s="53">
        <v>123310.5</v>
      </c>
      <c r="C63" s="53">
        <v>11595486.5</v>
      </c>
      <c r="E63" t="s">
        <v>79</v>
      </c>
      <c r="F63" s="6">
        <v>0</v>
      </c>
      <c r="G63" s="6">
        <v>0</v>
      </c>
      <c r="H63">
        <v>0</v>
      </c>
      <c r="J63" t="s">
        <v>118</v>
      </c>
      <c r="K63">
        <v>0</v>
      </c>
      <c r="L63">
        <v>0</v>
      </c>
      <c r="N63" t="s">
        <v>119</v>
      </c>
      <c r="O63">
        <v>0</v>
      </c>
      <c r="P63">
        <v>0</v>
      </c>
      <c r="Q63">
        <v>0</v>
      </c>
    </row>
    <row r="64" spans="1:25" x14ac:dyDescent="0.3">
      <c r="A64" t="s">
        <v>9</v>
      </c>
      <c r="B64" s="53">
        <v>203549</v>
      </c>
      <c r="C64" s="53">
        <v>18928197</v>
      </c>
      <c r="E64" t="s">
        <v>81</v>
      </c>
      <c r="F64">
        <v>0</v>
      </c>
      <c r="G64">
        <v>0</v>
      </c>
      <c r="H64">
        <v>0</v>
      </c>
      <c r="J64" t="s">
        <v>120</v>
      </c>
      <c r="K64">
        <v>0</v>
      </c>
      <c r="L64">
        <v>0</v>
      </c>
      <c r="N64" t="s">
        <v>121</v>
      </c>
      <c r="O64">
        <v>0</v>
      </c>
      <c r="P64">
        <v>0</v>
      </c>
      <c r="Q64">
        <v>0</v>
      </c>
    </row>
    <row r="65" spans="1:17" x14ac:dyDescent="0.3">
      <c r="A65" s="52" t="s">
        <v>15</v>
      </c>
      <c r="B65" s="53">
        <v>407.5</v>
      </c>
      <c r="C65" s="53">
        <v>27302.5</v>
      </c>
      <c r="E65" t="s">
        <v>33</v>
      </c>
      <c r="F65">
        <v>0</v>
      </c>
      <c r="G65">
        <v>0</v>
      </c>
      <c r="H65">
        <v>0</v>
      </c>
      <c r="J65" t="s">
        <v>122</v>
      </c>
      <c r="K65">
        <v>0</v>
      </c>
      <c r="L65">
        <v>0</v>
      </c>
      <c r="N65" t="s">
        <v>123</v>
      </c>
      <c r="O65">
        <v>0</v>
      </c>
      <c r="P65">
        <v>0</v>
      </c>
      <c r="Q65">
        <v>0</v>
      </c>
    </row>
    <row r="66" spans="1:17" x14ac:dyDescent="0.3">
      <c r="A66" s="54" t="s">
        <v>18</v>
      </c>
      <c r="B66" s="53">
        <v>2142</v>
      </c>
      <c r="C66" s="53">
        <v>155714</v>
      </c>
      <c r="E66" t="s">
        <v>76</v>
      </c>
      <c r="F66">
        <v>0</v>
      </c>
      <c r="G66">
        <v>0</v>
      </c>
      <c r="H66">
        <v>0</v>
      </c>
      <c r="J66" t="s">
        <v>124</v>
      </c>
      <c r="K66">
        <v>0</v>
      </c>
      <c r="L66">
        <v>0</v>
      </c>
      <c r="N66" t="s">
        <v>6</v>
      </c>
      <c r="O66">
        <v>1313</v>
      </c>
      <c r="P66">
        <v>121245</v>
      </c>
      <c r="Q66">
        <v>88200</v>
      </c>
    </row>
    <row r="67" spans="1:17" x14ac:dyDescent="0.3">
      <c r="A67" s="54" t="s">
        <v>12</v>
      </c>
      <c r="B67" s="53">
        <v>2868</v>
      </c>
      <c r="C67" s="53">
        <v>248560</v>
      </c>
      <c r="E67" t="s">
        <v>5</v>
      </c>
      <c r="F67">
        <v>6529</v>
      </c>
      <c r="G67">
        <v>374217</v>
      </c>
      <c r="H67">
        <v>460350</v>
      </c>
      <c r="J67" t="s">
        <v>125</v>
      </c>
      <c r="K67">
        <v>0</v>
      </c>
      <c r="L67">
        <v>0</v>
      </c>
      <c r="N67" t="s">
        <v>8</v>
      </c>
      <c r="O67">
        <v>615</v>
      </c>
      <c r="P67">
        <v>64575</v>
      </c>
      <c r="Q67">
        <v>45450</v>
      </c>
    </row>
    <row r="68" spans="1:17" x14ac:dyDescent="0.3">
      <c r="A68" s="55" t="s">
        <v>23</v>
      </c>
      <c r="B68" s="53">
        <v>2039</v>
      </c>
      <c r="C68" s="53">
        <v>134574</v>
      </c>
      <c r="E68" t="s">
        <v>7</v>
      </c>
      <c r="F68">
        <v>1556</v>
      </c>
      <c r="G68">
        <v>121368</v>
      </c>
      <c r="H68">
        <v>178940</v>
      </c>
      <c r="J68" t="s">
        <v>126</v>
      </c>
      <c r="K68">
        <v>0</v>
      </c>
      <c r="L68">
        <v>0</v>
      </c>
      <c r="N68" t="s">
        <v>11</v>
      </c>
      <c r="O68">
        <v>1152</v>
      </c>
      <c r="P68">
        <v>122808</v>
      </c>
      <c r="Q68">
        <v>39500</v>
      </c>
    </row>
    <row r="69" spans="1:17" x14ac:dyDescent="0.3">
      <c r="A69" t="s">
        <v>26</v>
      </c>
      <c r="B69" s="53">
        <v>14326</v>
      </c>
      <c r="C69" s="53">
        <v>1314427</v>
      </c>
      <c r="E69" t="s">
        <v>9</v>
      </c>
      <c r="F69" s="6">
        <v>16573</v>
      </c>
      <c r="G69" s="6">
        <v>1292694</v>
      </c>
      <c r="H69">
        <v>1405616.8</v>
      </c>
      <c r="J69" t="s">
        <v>127</v>
      </c>
      <c r="K69">
        <v>0</v>
      </c>
      <c r="L69">
        <v>0</v>
      </c>
      <c r="N69" t="s">
        <v>14</v>
      </c>
      <c r="O69">
        <v>270</v>
      </c>
      <c r="P69">
        <v>28350</v>
      </c>
      <c r="Q69">
        <v>20000</v>
      </c>
    </row>
    <row r="70" spans="1:17" x14ac:dyDescent="0.3">
      <c r="A70" s="54" t="s">
        <v>29</v>
      </c>
      <c r="B70" s="53">
        <v>165</v>
      </c>
      <c r="C70" s="53">
        <v>12375</v>
      </c>
      <c r="E70" t="s">
        <v>12</v>
      </c>
      <c r="F70">
        <v>801</v>
      </c>
      <c r="G70">
        <v>29450</v>
      </c>
      <c r="H70">
        <v>0</v>
      </c>
      <c r="J70" t="s">
        <v>123</v>
      </c>
      <c r="K70" s="6">
        <v>0</v>
      </c>
      <c r="L70" s="6">
        <v>0</v>
      </c>
      <c r="N70" t="s">
        <v>17</v>
      </c>
      <c r="O70">
        <v>3501.4</v>
      </c>
      <c r="P70">
        <v>315228</v>
      </c>
      <c r="Q70">
        <v>414647</v>
      </c>
    </row>
    <row r="71" spans="1:17" x14ac:dyDescent="0.3">
      <c r="A71" s="54" t="s">
        <v>16</v>
      </c>
      <c r="B71" s="53">
        <v>6483.5</v>
      </c>
      <c r="C71" s="53">
        <v>573396</v>
      </c>
      <c r="E71" t="s">
        <v>16</v>
      </c>
      <c r="F71">
        <v>401.5</v>
      </c>
      <c r="G71">
        <v>32521.5</v>
      </c>
      <c r="H71">
        <v>0</v>
      </c>
      <c r="J71" t="s">
        <v>6</v>
      </c>
      <c r="K71">
        <v>12547</v>
      </c>
      <c r="L71">
        <v>1222502</v>
      </c>
      <c r="N71" t="s">
        <v>20</v>
      </c>
      <c r="O71">
        <v>525</v>
      </c>
      <c r="P71">
        <v>55125</v>
      </c>
      <c r="Q71">
        <v>41130</v>
      </c>
    </row>
    <row r="72" spans="1:17" x14ac:dyDescent="0.3">
      <c r="A72" s="54" t="s">
        <v>34</v>
      </c>
      <c r="B72" s="53">
        <v>37801.5</v>
      </c>
      <c r="C72" s="53">
        <v>3461131.5</v>
      </c>
      <c r="E72" t="s">
        <v>19</v>
      </c>
      <c r="F72">
        <v>102</v>
      </c>
      <c r="G72">
        <v>0</v>
      </c>
      <c r="H72">
        <v>50000</v>
      </c>
      <c r="J72" t="s">
        <v>8</v>
      </c>
      <c r="K72">
        <v>8217</v>
      </c>
      <c r="L72">
        <v>737584</v>
      </c>
      <c r="N72" t="s">
        <v>22</v>
      </c>
      <c r="O72">
        <v>696</v>
      </c>
      <c r="P72">
        <v>65520</v>
      </c>
      <c r="Q72">
        <v>50000</v>
      </c>
    </row>
    <row r="73" spans="1:17" x14ac:dyDescent="0.3">
      <c r="A73" s="55" t="s">
        <v>19</v>
      </c>
      <c r="B73" s="53">
        <v>7723</v>
      </c>
      <c r="C73" s="53">
        <v>617840</v>
      </c>
      <c r="E73" t="s">
        <v>21</v>
      </c>
      <c r="F73">
        <v>605.5</v>
      </c>
      <c r="G73">
        <v>49045.5</v>
      </c>
      <c r="H73">
        <v>30000</v>
      </c>
      <c r="J73" t="s">
        <v>10</v>
      </c>
      <c r="K73">
        <v>14570</v>
      </c>
      <c r="L73">
        <v>1155100</v>
      </c>
      <c r="N73" t="s">
        <v>25</v>
      </c>
      <c r="O73">
        <v>1859</v>
      </c>
      <c r="P73">
        <v>200431</v>
      </c>
      <c r="Q73">
        <v>198562</v>
      </c>
    </row>
    <row r="74" spans="1:17" x14ac:dyDescent="0.3">
      <c r="A74" s="55" t="s">
        <v>40</v>
      </c>
      <c r="B74" s="53">
        <v>3481</v>
      </c>
      <c r="C74" s="53">
        <v>285838</v>
      </c>
      <c r="E74" t="s">
        <v>24</v>
      </c>
      <c r="F74">
        <v>5266</v>
      </c>
      <c r="G74">
        <v>428750</v>
      </c>
      <c r="H74">
        <v>170000</v>
      </c>
      <c r="J74" t="s">
        <v>13</v>
      </c>
      <c r="K74">
        <v>1005</v>
      </c>
      <c r="L74">
        <v>99615</v>
      </c>
      <c r="N74" t="s">
        <v>28</v>
      </c>
      <c r="O74">
        <v>694</v>
      </c>
      <c r="P74">
        <v>70462</v>
      </c>
      <c r="Q74">
        <v>46500</v>
      </c>
    </row>
    <row r="75" spans="1:17" x14ac:dyDescent="0.3">
      <c r="A75" s="54" t="s">
        <v>21</v>
      </c>
      <c r="B75" s="53">
        <v>19401.5</v>
      </c>
      <c r="C75" s="53">
        <v>1639026.25</v>
      </c>
      <c r="E75" t="s">
        <v>27</v>
      </c>
      <c r="F75">
        <v>3810.5</v>
      </c>
      <c r="G75">
        <v>309868.5</v>
      </c>
      <c r="H75">
        <v>100000</v>
      </c>
      <c r="J75" t="s">
        <v>11</v>
      </c>
      <c r="K75">
        <v>1152</v>
      </c>
      <c r="L75">
        <v>122808</v>
      </c>
      <c r="N75" t="s">
        <v>31</v>
      </c>
      <c r="O75" s="6">
        <v>4000</v>
      </c>
      <c r="P75" s="6">
        <v>391205</v>
      </c>
      <c r="Q75" s="6">
        <v>231205</v>
      </c>
    </row>
    <row r="76" spans="1:17" x14ac:dyDescent="0.3">
      <c r="A76" s="54" t="s">
        <v>47</v>
      </c>
      <c r="B76" s="53">
        <v>5917</v>
      </c>
      <c r="C76" s="53">
        <v>378927</v>
      </c>
      <c r="D76" s="6"/>
      <c r="E76" t="s">
        <v>30</v>
      </c>
      <c r="F76">
        <v>1282</v>
      </c>
      <c r="G76">
        <v>115380</v>
      </c>
      <c r="H76">
        <v>12450</v>
      </c>
      <c r="J76" t="s">
        <v>14</v>
      </c>
      <c r="K76">
        <v>4765</v>
      </c>
      <c r="L76">
        <v>413765</v>
      </c>
      <c r="N76" t="s">
        <v>33</v>
      </c>
      <c r="O76">
        <v>1649</v>
      </c>
      <c r="P76">
        <v>170158</v>
      </c>
      <c r="Q76">
        <v>163820</v>
      </c>
    </row>
    <row r="77" spans="1:17" x14ac:dyDescent="0.3">
      <c r="A77" s="54" t="s">
        <v>50</v>
      </c>
      <c r="B77" s="53">
        <v>792</v>
      </c>
      <c r="C77" s="53">
        <v>56089</v>
      </c>
      <c r="E77" t="s">
        <v>32</v>
      </c>
      <c r="F77">
        <v>0</v>
      </c>
      <c r="G77">
        <v>0</v>
      </c>
      <c r="H77">
        <v>20000</v>
      </c>
      <c r="J77" t="s">
        <v>17</v>
      </c>
      <c r="K77">
        <v>78056.697963985062</v>
      </c>
      <c r="L77">
        <v>6650568.4572268501</v>
      </c>
      <c r="N77" t="s">
        <v>37</v>
      </c>
      <c r="O77">
        <v>399</v>
      </c>
      <c r="P77">
        <v>37107</v>
      </c>
      <c r="Q77">
        <v>27608</v>
      </c>
    </row>
    <row r="78" spans="1:17" x14ac:dyDescent="0.3">
      <c r="A78" s="54" t="s">
        <v>24</v>
      </c>
      <c r="B78" s="53">
        <v>83801</v>
      </c>
      <c r="C78" s="53">
        <v>7202295.75</v>
      </c>
      <c r="E78" t="s">
        <v>35</v>
      </c>
      <c r="F78">
        <v>2604.5</v>
      </c>
      <c r="G78">
        <v>210964.5</v>
      </c>
      <c r="H78">
        <v>147500</v>
      </c>
      <c r="J78" t="s">
        <v>20</v>
      </c>
      <c r="K78">
        <v>4200</v>
      </c>
      <c r="L78">
        <v>398665</v>
      </c>
      <c r="N78" t="s">
        <v>39</v>
      </c>
      <c r="O78">
        <v>4025</v>
      </c>
      <c r="P78">
        <v>426230</v>
      </c>
      <c r="Q78">
        <v>390525</v>
      </c>
    </row>
    <row r="79" spans="1:17" x14ac:dyDescent="0.3">
      <c r="A79" s="55" t="s">
        <v>54</v>
      </c>
      <c r="B79" s="53">
        <v>3825.5</v>
      </c>
      <c r="C79" s="53">
        <v>341166</v>
      </c>
      <c r="E79" t="s">
        <v>38</v>
      </c>
      <c r="F79">
        <v>598</v>
      </c>
      <c r="G79">
        <v>48438</v>
      </c>
      <c r="H79">
        <v>33000</v>
      </c>
      <c r="J79" t="s">
        <v>22</v>
      </c>
      <c r="K79">
        <v>5714</v>
      </c>
      <c r="L79">
        <v>553407</v>
      </c>
      <c r="N79" t="s">
        <v>43</v>
      </c>
      <c r="O79">
        <v>273</v>
      </c>
      <c r="P79">
        <v>38220</v>
      </c>
      <c r="Q79">
        <v>0</v>
      </c>
    </row>
    <row r="80" spans="1:17" x14ac:dyDescent="0.3">
      <c r="A80" s="55" t="s">
        <v>56</v>
      </c>
      <c r="B80" s="53">
        <v>204</v>
      </c>
      <c r="C80" s="53">
        <v>13464</v>
      </c>
      <c r="E80" t="s">
        <v>41</v>
      </c>
      <c r="F80">
        <v>1818.5</v>
      </c>
      <c r="G80">
        <v>150935.5</v>
      </c>
      <c r="H80">
        <v>100000</v>
      </c>
      <c r="J80" t="s">
        <v>25</v>
      </c>
      <c r="K80">
        <v>16040</v>
      </c>
      <c r="L80">
        <v>1539684</v>
      </c>
      <c r="N80" t="s">
        <v>46</v>
      </c>
      <c r="O80">
        <v>140</v>
      </c>
      <c r="P80">
        <v>14910</v>
      </c>
      <c r="Q80">
        <v>14910</v>
      </c>
    </row>
    <row r="81" spans="1:17" x14ac:dyDescent="0.3">
      <c r="A81" s="54" t="s">
        <v>27</v>
      </c>
      <c r="B81" s="53">
        <v>71816</v>
      </c>
      <c r="C81" s="53">
        <v>6119651.25</v>
      </c>
      <c r="E81" t="s">
        <v>44</v>
      </c>
      <c r="F81" s="6">
        <v>2384</v>
      </c>
      <c r="G81" s="6">
        <v>193104</v>
      </c>
      <c r="H81">
        <v>90000</v>
      </c>
      <c r="J81" t="s">
        <v>28</v>
      </c>
      <c r="K81">
        <v>10432</v>
      </c>
      <c r="L81">
        <v>953192</v>
      </c>
      <c r="N81" t="s">
        <v>49</v>
      </c>
      <c r="O81">
        <v>1922</v>
      </c>
      <c r="P81">
        <v>196044</v>
      </c>
      <c r="Q81">
        <v>0</v>
      </c>
    </row>
    <row r="82" spans="1:17" x14ac:dyDescent="0.3">
      <c r="A82" s="54" t="s">
        <v>60</v>
      </c>
      <c r="B82" s="53">
        <v>2223</v>
      </c>
      <c r="C82" s="53">
        <v>191010</v>
      </c>
      <c r="E82" t="s">
        <v>48</v>
      </c>
      <c r="F82">
        <v>101</v>
      </c>
      <c r="G82">
        <v>8383</v>
      </c>
      <c r="H82">
        <v>0</v>
      </c>
      <c r="J82" t="s">
        <v>36</v>
      </c>
      <c r="K82">
        <v>3935</v>
      </c>
      <c r="L82">
        <v>296465</v>
      </c>
      <c r="N82" t="s">
        <v>52</v>
      </c>
      <c r="O82">
        <v>0</v>
      </c>
      <c r="P82">
        <v>0</v>
      </c>
      <c r="Q82">
        <v>20000</v>
      </c>
    </row>
    <row r="83" spans="1:17" x14ac:dyDescent="0.3">
      <c r="A83" s="54" t="s">
        <v>63</v>
      </c>
      <c r="B83" s="53">
        <v>2435</v>
      </c>
      <c r="C83" s="53">
        <v>212023.5</v>
      </c>
      <c r="E83" t="s">
        <v>51</v>
      </c>
      <c r="F83">
        <v>4986.5</v>
      </c>
      <c r="G83">
        <v>439221.5</v>
      </c>
      <c r="H83">
        <v>0</v>
      </c>
      <c r="J83" t="s">
        <v>31</v>
      </c>
      <c r="K83">
        <v>41707</v>
      </c>
      <c r="L83">
        <v>4127907</v>
      </c>
      <c r="N83" t="s">
        <v>47</v>
      </c>
      <c r="O83">
        <v>4892</v>
      </c>
      <c r="P83">
        <v>359072</v>
      </c>
      <c r="Q83">
        <v>352000</v>
      </c>
    </row>
    <row r="84" spans="1:17" x14ac:dyDescent="0.3">
      <c r="A84" s="55" t="s">
        <v>65</v>
      </c>
      <c r="B84" s="53">
        <v>7031</v>
      </c>
      <c r="C84" s="53">
        <v>514444</v>
      </c>
      <c r="J84" t="s">
        <v>42</v>
      </c>
      <c r="K84">
        <v>948</v>
      </c>
      <c r="L84">
        <v>73940</v>
      </c>
      <c r="N84" t="s">
        <v>55</v>
      </c>
      <c r="O84">
        <v>1175</v>
      </c>
      <c r="P84">
        <v>103400</v>
      </c>
      <c r="Q84">
        <v>81880</v>
      </c>
    </row>
    <row r="85" spans="1:17" x14ac:dyDescent="0.3">
      <c r="A85" t="s">
        <v>66</v>
      </c>
      <c r="B85" s="53">
        <v>9130</v>
      </c>
      <c r="C85" s="53">
        <v>770336</v>
      </c>
      <c r="F85" s="6"/>
      <c r="G85" s="6"/>
      <c r="J85" t="s">
        <v>45</v>
      </c>
      <c r="K85">
        <v>120</v>
      </c>
      <c r="L85">
        <v>13200</v>
      </c>
      <c r="N85" t="s">
        <v>57</v>
      </c>
      <c r="O85">
        <v>3420</v>
      </c>
      <c r="P85">
        <v>358801</v>
      </c>
      <c r="Q85">
        <v>139000</v>
      </c>
    </row>
    <row r="86" spans="1:17" x14ac:dyDescent="0.3">
      <c r="A86" s="55" t="s">
        <v>67</v>
      </c>
      <c r="B86" s="53">
        <v>190</v>
      </c>
      <c r="C86" s="53">
        <v>18430</v>
      </c>
      <c r="J86" t="s">
        <v>33</v>
      </c>
      <c r="K86">
        <v>3707</v>
      </c>
      <c r="L86">
        <v>394504</v>
      </c>
      <c r="N86" t="s">
        <v>59</v>
      </c>
      <c r="O86" s="6">
        <v>399</v>
      </c>
      <c r="P86" s="6">
        <v>37107</v>
      </c>
      <c r="Q86" s="6">
        <v>50000</v>
      </c>
    </row>
    <row r="87" spans="1:17" x14ac:dyDescent="0.3">
      <c r="A87" s="54" t="s">
        <v>32</v>
      </c>
      <c r="B87" s="53">
        <v>1014</v>
      </c>
      <c r="C87" s="53">
        <v>88218</v>
      </c>
      <c r="J87" t="s">
        <v>37</v>
      </c>
      <c r="K87" s="6">
        <v>5080</v>
      </c>
      <c r="L87" s="6">
        <v>493922</v>
      </c>
      <c r="N87" t="s">
        <v>62</v>
      </c>
      <c r="O87">
        <v>205</v>
      </c>
      <c r="P87">
        <v>20765</v>
      </c>
      <c r="Q87">
        <v>20765</v>
      </c>
    </row>
    <row r="88" spans="1:17" x14ac:dyDescent="0.3">
      <c r="A88" s="54" t="s">
        <v>35</v>
      </c>
      <c r="B88" s="53">
        <v>41819</v>
      </c>
      <c r="C88" s="53">
        <v>3347313</v>
      </c>
      <c r="J88" t="s">
        <v>39</v>
      </c>
      <c r="K88">
        <v>35807</v>
      </c>
      <c r="L88">
        <v>3356555</v>
      </c>
      <c r="N88" t="s">
        <v>64</v>
      </c>
      <c r="O88">
        <v>290</v>
      </c>
      <c r="P88">
        <v>29580</v>
      </c>
      <c r="Q88">
        <v>31000</v>
      </c>
    </row>
    <row r="89" spans="1:17" x14ac:dyDescent="0.3">
      <c r="A89" s="55" t="s">
        <v>38</v>
      </c>
      <c r="B89" s="53">
        <v>14003</v>
      </c>
      <c r="C89" s="53">
        <v>1200754.25</v>
      </c>
      <c r="F89" s="6"/>
      <c r="G89" s="6"/>
      <c r="H89" s="6"/>
      <c r="J89" t="s">
        <v>43</v>
      </c>
      <c r="K89">
        <v>15376</v>
      </c>
      <c r="L89">
        <v>1421132</v>
      </c>
      <c r="N89" t="s">
        <v>48</v>
      </c>
      <c r="O89" s="56">
        <v>1250</v>
      </c>
      <c r="P89" s="56">
        <v>112500</v>
      </c>
      <c r="Q89" s="56">
        <v>100000</v>
      </c>
    </row>
    <row r="90" spans="1:17" x14ac:dyDescent="0.3">
      <c r="A90" s="55" t="s">
        <v>41</v>
      </c>
      <c r="B90" s="53">
        <v>4027.5</v>
      </c>
      <c r="C90" s="53">
        <v>362773</v>
      </c>
      <c r="J90" t="s">
        <v>46</v>
      </c>
      <c r="K90">
        <v>140</v>
      </c>
      <c r="L90">
        <v>14910</v>
      </c>
      <c r="O90">
        <v>34664.400000000001</v>
      </c>
      <c r="P90">
        <v>3338843</v>
      </c>
      <c r="Q90">
        <v>2566702</v>
      </c>
    </row>
    <row r="91" spans="1:17" x14ac:dyDescent="0.3">
      <c r="A91" s="54" t="s">
        <v>76</v>
      </c>
      <c r="B91" s="53">
        <v>3857.5</v>
      </c>
      <c r="C91" s="53">
        <v>347997.5</v>
      </c>
      <c r="J91" t="s">
        <v>58</v>
      </c>
      <c r="K91">
        <v>509.5</v>
      </c>
      <c r="L91">
        <v>37350.5</v>
      </c>
    </row>
    <row r="92" spans="1:17" x14ac:dyDescent="0.3">
      <c r="A92" s="55" t="s">
        <v>44</v>
      </c>
      <c r="B92" s="53">
        <v>59204.5</v>
      </c>
      <c r="C92" s="53">
        <v>4960240.5</v>
      </c>
      <c r="J92" t="s">
        <v>61</v>
      </c>
      <c r="K92">
        <v>545</v>
      </c>
      <c r="L92">
        <v>58655</v>
      </c>
    </row>
    <row r="93" spans="1:17" x14ac:dyDescent="0.3">
      <c r="A93" s="55" t="s">
        <v>79</v>
      </c>
      <c r="B93" s="53">
        <v>3158.5</v>
      </c>
      <c r="C93" s="53">
        <v>240098</v>
      </c>
      <c r="J93" t="s">
        <v>49</v>
      </c>
      <c r="K93">
        <v>3317</v>
      </c>
      <c r="L93">
        <v>325386</v>
      </c>
    </row>
    <row r="94" spans="1:17" x14ac:dyDescent="0.3">
      <c r="A94" s="54" t="s">
        <v>81</v>
      </c>
      <c r="B94" s="53">
        <v>9975</v>
      </c>
      <c r="C94" s="53">
        <v>794643</v>
      </c>
      <c r="J94" t="s">
        <v>52</v>
      </c>
      <c r="K94">
        <v>3701</v>
      </c>
      <c r="L94">
        <v>365011</v>
      </c>
    </row>
    <row r="95" spans="1:17" x14ac:dyDescent="0.3">
      <c r="A95" s="55" t="s">
        <v>48</v>
      </c>
      <c r="B95" s="53">
        <v>24430.5</v>
      </c>
      <c r="C95" s="53">
        <v>1918069.5</v>
      </c>
      <c r="J95" t="s">
        <v>47</v>
      </c>
      <c r="K95">
        <v>40013</v>
      </c>
      <c r="L95">
        <v>2673836</v>
      </c>
    </row>
    <row r="96" spans="1:17" x14ac:dyDescent="0.3">
      <c r="A96" s="54" t="s">
        <v>51</v>
      </c>
      <c r="B96" s="53">
        <v>13522.5</v>
      </c>
      <c r="C96" s="53">
        <v>1264592.5</v>
      </c>
      <c r="J96" t="s">
        <v>55</v>
      </c>
      <c r="K96" s="6">
        <v>3990</v>
      </c>
      <c r="L96" s="6">
        <v>351120</v>
      </c>
    </row>
    <row r="97" spans="1:17" x14ac:dyDescent="0.3">
      <c r="A97" s="54" t="s">
        <v>86</v>
      </c>
      <c r="B97" s="53">
        <v>3658</v>
      </c>
      <c r="C97" s="53">
        <v>337044</v>
      </c>
      <c r="D97" s="6"/>
      <c r="J97" t="s">
        <v>57</v>
      </c>
      <c r="K97">
        <v>14773</v>
      </c>
      <c r="L97">
        <v>1550133</v>
      </c>
    </row>
    <row r="98" spans="1:17" x14ac:dyDescent="0.3">
      <c r="A98" s="54"/>
      <c r="B98" s="53">
        <v>891952.5</v>
      </c>
      <c r="C98" s="53">
        <v>78368750.75</v>
      </c>
      <c r="J98" t="s">
        <v>71</v>
      </c>
      <c r="K98">
        <v>142</v>
      </c>
      <c r="L98">
        <v>9088</v>
      </c>
    </row>
    <row r="99" spans="1:17" x14ac:dyDescent="0.3">
      <c r="B99" s="6"/>
      <c r="C99" s="6"/>
      <c r="J99" t="s">
        <v>73</v>
      </c>
      <c r="K99">
        <v>335</v>
      </c>
      <c r="L99">
        <v>36105</v>
      </c>
    </row>
    <row r="100" spans="1:17" x14ac:dyDescent="0.3">
      <c r="B100" s="6"/>
      <c r="C100" s="6"/>
      <c r="J100" t="s">
        <v>75</v>
      </c>
      <c r="K100">
        <v>3257</v>
      </c>
      <c r="L100">
        <v>261876</v>
      </c>
    </row>
    <row r="101" spans="1:17" x14ac:dyDescent="0.3">
      <c r="B101" s="6"/>
      <c r="C101" s="6"/>
      <c r="J101" t="s">
        <v>59</v>
      </c>
      <c r="K101">
        <v>14537</v>
      </c>
      <c r="L101">
        <v>1443462</v>
      </c>
    </row>
    <row r="102" spans="1:17" x14ac:dyDescent="0.3">
      <c r="B102" s="6"/>
      <c r="C102" s="6"/>
      <c r="J102" t="s">
        <v>62</v>
      </c>
      <c r="K102">
        <v>205</v>
      </c>
      <c r="L102">
        <v>20765</v>
      </c>
    </row>
    <row r="103" spans="1:17" x14ac:dyDescent="0.3">
      <c r="B103" s="6"/>
      <c r="C103" s="6"/>
      <c r="J103" t="s">
        <v>67</v>
      </c>
      <c r="K103">
        <v>225</v>
      </c>
      <c r="L103">
        <v>0</v>
      </c>
      <c r="O103" s="6"/>
      <c r="P103" s="6"/>
      <c r="Q103" s="6"/>
    </row>
    <row r="104" spans="1:17" x14ac:dyDescent="0.3">
      <c r="B104" s="6"/>
      <c r="C104" s="6"/>
      <c r="J104" t="s">
        <v>64</v>
      </c>
      <c r="K104">
        <v>290</v>
      </c>
      <c r="L104">
        <v>29580</v>
      </c>
    </row>
    <row r="105" spans="1:17" x14ac:dyDescent="0.3">
      <c r="J105" t="s">
        <v>83</v>
      </c>
      <c r="K105" s="6">
        <v>956</v>
      </c>
      <c r="L105" s="6">
        <v>104204</v>
      </c>
    </row>
    <row r="106" spans="1:17" x14ac:dyDescent="0.3">
      <c r="F106" s="6"/>
      <c r="G106" s="6"/>
      <c r="H106" s="6"/>
      <c r="J106" t="s">
        <v>85</v>
      </c>
      <c r="K106">
        <v>760</v>
      </c>
      <c r="L106">
        <v>69815</v>
      </c>
    </row>
    <row r="107" spans="1:17" x14ac:dyDescent="0.3">
      <c r="F107" s="6"/>
      <c r="G107" s="6"/>
      <c r="H107" s="6"/>
      <c r="J107" t="s">
        <v>88</v>
      </c>
      <c r="K107">
        <v>3709</v>
      </c>
      <c r="L107">
        <v>392798.5</v>
      </c>
      <c r="O107" s="6"/>
      <c r="P107" s="6"/>
      <c r="Q107" s="6"/>
    </row>
    <row r="108" spans="1:17" x14ac:dyDescent="0.3">
      <c r="F108" s="6"/>
      <c r="G108" s="6"/>
      <c r="H108" s="6"/>
      <c r="J108" t="s">
        <v>91</v>
      </c>
      <c r="K108">
        <v>1709</v>
      </c>
      <c r="L108">
        <v>147674</v>
      </c>
    </row>
    <row r="109" spans="1:17" x14ac:dyDescent="0.3">
      <c r="J109" t="s">
        <v>92</v>
      </c>
      <c r="K109">
        <v>185</v>
      </c>
      <c r="L109">
        <v>14615</v>
      </c>
    </row>
    <row r="110" spans="1:17" x14ac:dyDescent="0.3">
      <c r="J110" t="s">
        <v>93</v>
      </c>
      <c r="K110">
        <v>72</v>
      </c>
      <c r="L110">
        <v>5400</v>
      </c>
      <c r="O110" s="6"/>
      <c r="P110" s="6"/>
      <c r="Q110" s="6"/>
    </row>
    <row r="111" spans="1:17" x14ac:dyDescent="0.3">
      <c r="J111" t="s">
        <v>48</v>
      </c>
      <c r="K111" s="6">
        <v>7438</v>
      </c>
      <c r="L111" s="6">
        <v>734602</v>
      </c>
    </row>
    <row r="112" spans="1:17" x14ac:dyDescent="0.3">
      <c r="J112" t="s">
        <v>94</v>
      </c>
      <c r="K112">
        <v>300</v>
      </c>
      <c r="L112">
        <v>32100</v>
      </c>
    </row>
    <row r="113" spans="2:17" x14ac:dyDescent="0.3">
      <c r="J113">
        <v>286288.5</v>
      </c>
      <c r="K113">
        <v>364487.19796398503</v>
      </c>
      <c r="L113">
        <v>32703001.45722685</v>
      </c>
      <c r="O113" s="6"/>
      <c r="P113" s="6"/>
      <c r="Q113" s="6"/>
    </row>
    <row r="114" spans="2:17" x14ac:dyDescent="0.3">
      <c r="K114" s="6"/>
      <c r="L114" s="6"/>
      <c r="O114" s="6"/>
      <c r="P114" s="6"/>
      <c r="Q114" s="6"/>
    </row>
    <row r="115" spans="2:17" x14ac:dyDescent="0.3">
      <c r="B115" s="6">
        <f>+B40-[1]VTAIND!D47</f>
        <v>477539.8</v>
      </c>
      <c r="C115" s="6">
        <f>+C40-[1]VTAIND!E47</f>
        <v>45465979.25</v>
      </c>
    </row>
    <row r="116" spans="2:17" x14ac:dyDescent="0.3">
      <c r="B116" s="6">
        <f>+B98-[1]VTAIND!D47</f>
        <v>477539.8</v>
      </c>
      <c r="C116" s="6">
        <f>+C98-[1]VTAIND!E47</f>
        <v>45465979.25</v>
      </c>
      <c r="K116" s="6"/>
      <c r="L116" s="6"/>
    </row>
    <row r="117" spans="2:17" x14ac:dyDescent="0.3">
      <c r="B117" s="6">
        <f>+B101-[1]VTAIND!D50</f>
        <v>-414412.7</v>
      </c>
      <c r="C117" s="6">
        <f>+C101-[1]VTAIND!E50</f>
        <v>213</v>
      </c>
      <c r="K117" s="6"/>
      <c r="L117" s="6"/>
    </row>
    <row r="118" spans="2:17" x14ac:dyDescent="0.3">
      <c r="B118" s="6">
        <f>+B98-B40</f>
        <v>0</v>
      </c>
      <c r="C118" s="6">
        <f>+C98-C40</f>
        <v>0</v>
      </c>
      <c r="K118" s="6"/>
      <c r="L118" s="6"/>
    </row>
    <row r="119" spans="2:17" x14ac:dyDescent="0.3">
      <c r="K119" s="6"/>
      <c r="L119" s="6"/>
    </row>
    <row r="120" spans="2:17" x14ac:dyDescent="0.3">
      <c r="I120" s="6"/>
      <c r="K120" s="6"/>
      <c r="L120" s="6"/>
    </row>
    <row r="121" spans="2:17" x14ac:dyDescent="0.3">
      <c r="I121" s="6"/>
    </row>
    <row r="122" spans="2:17" x14ac:dyDescent="0.3">
      <c r="I122" s="6"/>
    </row>
    <row r="123" spans="2:17" x14ac:dyDescent="0.3">
      <c r="I123" s="6"/>
    </row>
    <row r="124" spans="2:17" x14ac:dyDescent="0.3">
      <c r="I124" s="6"/>
    </row>
    <row r="125" spans="2:17" x14ac:dyDescent="0.3">
      <c r="I125" s="6"/>
    </row>
    <row r="126" spans="2:17" x14ac:dyDescent="0.3">
      <c r="I126" s="6"/>
    </row>
    <row r="127" spans="2:17" x14ac:dyDescent="0.3">
      <c r="I127" s="6"/>
    </row>
    <row r="128" spans="2:17" x14ac:dyDescent="0.3">
      <c r="I128" s="6"/>
      <c r="O128" s="6"/>
      <c r="P128" s="6"/>
      <c r="Q128" s="6"/>
    </row>
    <row r="129" spans="1:17" x14ac:dyDescent="0.3">
      <c r="I129" s="6"/>
      <c r="O129" s="6"/>
      <c r="P129" s="6"/>
      <c r="Q129" s="6"/>
    </row>
    <row r="130" spans="1:17" x14ac:dyDescent="0.3">
      <c r="I130" s="6"/>
      <c r="O130" s="6"/>
      <c r="P130" s="6"/>
      <c r="Q130" s="6"/>
    </row>
    <row r="131" spans="1:17" x14ac:dyDescent="0.3">
      <c r="I131" s="6"/>
      <c r="O131" s="6"/>
      <c r="P131" s="6"/>
      <c r="Q131" s="6"/>
    </row>
    <row r="132" spans="1:17" x14ac:dyDescent="0.3">
      <c r="I132" s="6"/>
    </row>
    <row r="133" spans="1:17" x14ac:dyDescent="0.3">
      <c r="I133" s="6"/>
    </row>
    <row r="134" spans="1:17" x14ac:dyDescent="0.3">
      <c r="I134" s="6"/>
    </row>
    <row r="138" spans="1:17" x14ac:dyDescent="0.3">
      <c r="A138" t="s">
        <v>128</v>
      </c>
      <c r="B138">
        <v>0</v>
      </c>
      <c r="C138">
        <v>0</v>
      </c>
      <c r="D138">
        <v>0</v>
      </c>
    </row>
    <row r="139" spans="1:17" x14ac:dyDescent="0.3">
      <c r="A139" t="s">
        <v>30</v>
      </c>
      <c r="B139">
        <v>0</v>
      </c>
      <c r="C139">
        <v>0</v>
      </c>
      <c r="D139">
        <v>0</v>
      </c>
      <c r="E139" t="s">
        <v>58</v>
      </c>
      <c r="F139">
        <v>0</v>
      </c>
      <c r="G139">
        <v>0</v>
      </c>
    </row>
    <row r="140" spans="1:17" x14ac:dyDescent="0.3">
      <c r="A140" t="s">
        <v>8</v>
      </c>
      <c r="B140">
        <v>1140</v>
      </c>
      <c r="C140">
        <v>63840</v>
      </c>
      <c r="D140">
        <v>63840</v>
      </c>
      <c r="E140" t="s">
        <v>10</v>
      </c>
      <c r="F140">
        <v>3994</v>
      </c>
      <c r="G140">
        <v>215676</v>
      </c>
    </row>
    <row r="141" spans="1:17" x14ac:dyDescent="0.3">
      <c r="A141" t="s">
        <v>10</v>
      </c>
      <c r="B141">
        <v>3217</v>
      </c>
      <c r="C141">
        <v>173718</v>
      </c>
      <c r="D141">
        <v>175165</v>
      </c>
      <c r="E141" t="s">
        <v>5</v>
      </c>
      <c r="F141">
        <v>14925</v>
      </c>
      <c r="G141">
        <v>776100</v>
      </c>
    </row>
    <row r="142" spans="1:17" x14ac:dyDescent="0.3">
      <c r="A142" t="s">
        <v>129</v>
      </c>
      <c r="B142">
        <v>360</v>
      </c>
      <c r="C142">
        <v>20160</v>
      </c>
      <c r="D142">
        <v>20160</v>
      </c>
      <c r="E142" t="s">
        <v>15</v>
      </c>
      <c r="F142">
        <v>1019</v>
      </c>
      <c r="G142">
        <v>52988</v>
      </c>
    </row>
    <row r="143" spans="1:17" x14ac:dyDescent="0.3">
      <c r="A143" t="s">
        <v>14</v>
      </c>
      <c r="B143">
        <v>703</v>
      </c>
      <c r="C143">
        <v>39368</v>
      </c>
      <c r="D143">
        <v>39314</v>
      </c>
      <c r="E143" t="s">
        <v>23</v>
      </c>
      <c r="F143">
        <v>10884.5</v>
      </c>
      <c r="G143">
        <v>544225</v>
      </c>
    </row>
    <row r="144" spans="1:17" x14ac:dyDescent="0.3">
      <c r="A144" t="s">
        <v>17</v>
      </c>
      <c r="B144">
        <v>9600.9</v>
      </c>
      <c r="C144">
        <v>537650.4</v>
      </c>
      <c r="D144">
        <v>552900</v>
      </c>
      <c r="E144" t="s">
        <v>128</v>
      </c>
      <c r="F144">
        <v>392</v>
      </c>
      <c r="G144">
        <v>21560</v>
      </c>
    </row>
    <row r="145" spans="1:12" x14ac:dyDescent="0.3">
      <c r="A145" t="s">
        <v>104</v>
      </c>
      <c r="B145">
        <v>175</v>
      </c>
      <c r="C145">
        <v>9800</v>
      </c>
      <c r="D145">
        <v>9800</v>
      </c>
      <c r="E145" t="s">
        <v>21</v>
      </c>
      <c r="F145">
        <v>5699.5</v>
      </c>
      <c r="G145">
        <v>296374</v>
      </c>
      <c r="J145" s="6">
        <f>+I178-[1]CXC!BL118</f>
        <v>-26688161.699999999</v>
      </c>
      <c r="K145" s="6">
        <f>+G159-[1]CXC!BL118</f>
        <v>-26737192.699999999</v>
      </c>
    </row>
    <row r="146" spans="1:12" x14ac:dyDescent="0.3">
      <c r="A146" t="s">
        <v>20</v>
      </c>
      <c r="B146">
        <v>1573</v>
      </c>
      <c r="C146">
        <v>88088</v>
      </c>
      <c r="D146">
        <v>88088</v>
      </c>
      <c r="E146" t="s">
        <v>47</v>
      </c>
      <c r="F146">
        <v>11505.699999999999</v>
      </c>
      <c r="G146">
        <v>621307.79999999993</v>
      </c>
    </row>
    <row r="147" spans="1:12" x14ac:dyDescent="0.3">
      <c r="A147" t="s">
        <v>114</v>
      </c>
      <c r="B147">
        <v>487.90000000000003</v>
      </c>
      <c r="C147">
        <v>29274.000000000004</v>
      </c>
      <c r="D147">
        <v>29274.000000000004</v>
      </c>
      <c r="E147" t="s">
        <v>56</v>
      </c>
      <c r="F147">
        <v>903.5</v>
      </c>
      <c r="G147">
        <v>46982</v>
      </c>
    </row>
    <row r="148" spans="1:12" x14ac:dyDescent="0.3">
      <c r="A148" t="s">
        <v>118</v>
      </c>
      <c r="B148">
        <v>1050</v>
      </c>
      <c r="C148">
        <v>58800</v>
      </c>
      <c r="D148">
        <v>58800</v>
      </c>
      <c r="E148" t="s">
        <v>27</v>
      </c>
      <c r="F148">
        <v>14854</v>
      </c>
      <c r="G148">
        <v>772408</v>
      </c>
      <c r="J148" s="6">
        <f>+I181-[1]CXC!BL197</f>
        <v>-24493414.25</v>
      </c>
      <c r="K148" s="6">
        <f>+G162-[1]CXC!BL197</f>
        <v>-24596736.300000001</v>
      </c>
      <c r="L148">
        <f>+G159-I178+C166-D166</f>
        <v>-103322.04999999981</v>
      </c>
    </row>
    <row r="149" spans="1:12" x14ac:dyDescent="0.3">
      <c r="A149" t="s">
        <v>25</v>
      </c>
      <c r="B149">
        <v>2301</v>
      </c>
      <c r="C149">
        <v>128856</v>
      </c>
      <c r="D149">
        <v>134337</v>
      </c>
      <c r="E149" t="s">
        <v>60</v>
      </c>
      <c r="F149">
        <v>42</v>
      </c>
      <c r="G149">
        <v>2184</v>
      </c>
    </row>
    <row r="150" spans="1:12" x14ac:dyDescent="0.3">
      <c r="A150" t="s">
        <v>28</v>
      </c>
      <c r="B150">
        <v>1866</v>
      </c>
      <c r="C150">
        <v>104496</v>
      </c>
      <c r="D150">
        <v>105081</v>
      </c>
      <c r="E150" t="s">
        <v>66</v>
      </c>
      <c r="F150">
        <v>1016</v>
      </c>
      <c r="G150">
        <v>52832</v>
      </c>
    </row>
    <row r="151" spans="1:12" x14ac:dyDescent="0.3">
      <c r="A151" t="s">
        <v>36</v>
      </c>
      <c r="B151">
        <v>750</v>
      </c>
      <c r="C151">
        <v>40500</v>
      </c>
      <c r="D151">
        <v>40500</v>
      </c>
      <c r="E151" t="s">
        <v>35</v>
      </c>
      <c r="F151">
        <v>11198</v>
      </c>
      <c r="G151">
        <v>582296</v>
      </c>
    </row>
    <row r="152" spans="1:12" x14ac:dyDescent="0.3">
      <c r="A152" t="s">
        <v>31</v>
      </c>
      <c r="B152">
        <v>2583</v>
      </c>
      <c r="C152">
        <v>144648</v>
      </c>
      <c r="D152">
        <v>146790</v>
      </c>
      <c r="E152" t="s">
        <v>38</v>
      </c>
      <c r="F152">
        <v>3259.5</v>
      </c>
      <c r="G152">
        <v>169494</v>
      </c>
    </row>
    <row r="153" spans="1:12" x14ac:dyDescent="0.3">
      <c r="A153" t="s">
        <v>42</v>
      </c>
      <c r="B153">
        <v>347</v>
      </c>
      <c r="C153">
        <v>19432</v>
      </c>
      <c r="D153">
        <v>19810</v>
      </c>
      <c r="E153" t="s">
        <v>41</v>
      </c>
      <c r="F153">
        <v>1018.5</v>
      </c>
      <c r="G153">
        <v>52962</v>
      </c>
    </row>
    <row r="154" spans="1:12" x14ac:dyDescent="0.3">
      <c r="A154" t="s">
        <v>33</v>
      </c>
      <c r="B154">
        <v>149.5</v>
      </c>
      <c r="C154">
        <v>8970</v>
      </c>
      <c r="D154">
        <v>8644</v>
      </c>
      <c r="E154" t="s">
        <v>76</v>
      </c>
      <c r="F154">
        <v>917</v>
      </c>
      <c r="G154">
        <v>47684</v>
      </c>
    </row>
    <row r="155" spans="1:12" x14ac:dyDescent="0.3">
      <c r="A155" t="s">
        <v>39</v>
      </c>
      <c r="B155">
        <v>4732</v>
      </c>
      <c r="C155">
        <v>264992</v>
      </c>
      <c r="D155">
        <v>275806</v>
      </c>
      <c r="E155" t="s">
        <v>44</v>
      </c>
      <c r="F155">
        <v>9975.5</v>
      </c>
      <c r="G155">
        <v>518726</v>
      </c>
    </row>
    <row r="156" spans="1:12" x14ac:dyDescent="0.3">
      <c r="A156" t="s">
        <v>122</v>
      </c>
      <c r="B156">
        <v>1949.5</v>
      </c>
      <c r="C156">
        <v>109172</v>
      </c>
      <c r="D156">
        <v>115719.5</v>
      </c>
      <c r="E156" t="s">
        <v>79</v>
      </c>
      <c r="F156">
        <v>2510</v>
      </c>
      <c r="G156">
        <v>130520</v>
      </c>
    </row>
    <row r="157" spans="1:12" x14ac:dyDescent="0.3">
      <c r="A157" t="s">
        <v>58</v>
      </c>
      <c r="B157">
        <v>221.5</v>
      </c>
      <c r="C157">
        <v>11961</v>
      </c>
      <c r="D157">
        <v>11961</v>
      </c>
      <c r="E157" t="s">
        <v>81</v>
      </c>
      <c r="F157">
        <v>13838</v>
      </c>
      <c r="G157">
        <v>719576</v>
      </c>
    </row>
    <row r="158" spans="1:12" x14ac:dyDescent="0.3">
      <c r="A158" t="s">
        <v>125</v>
      </c>
      <c r="B158">
        <v>500</v>
      </c>
      <c r="C158">
        <v>30000</v>
      </c>
      <c r="D158">
        <v>30000</v>
      </c>
      <c r="E158" t="s">
        <v>48</v>
      </c>
      <c r="F158">
        <v>10417</v>
      </c>
      <c r="G158">
        <v>541684</v>
      </c>
      <c r="I158">
        <v>0</v>
      </c>
    </row>
    <row r="159" spans="1:12" x14ac:dyDescent="0.3">
      <c r="A159" t="s">
        <v>47</v>
      </c>
      <c r="B159">
        <v>466</v>
      </c>
      <c r="C159">
        <v>25164</v>
      </c>
      <c r="D159">
        <v>31199.900000000023</v>
      </c>
      <c r="F159">
        <f>SUM(F139:F158)</f>
        <v>118368.7</v>
      </c>
      <c r="G159">
        <f>SUM(G139:G158)</f>
        <v>6165578.7999999998</v>
      </c>
      <c r="I159">
        <v>215676</v>
      </c>
    </row>
    <row r="160" spans="1:12" x14ac:dyDescent="0.3">
      <c r="A160" t="s">
        <v>55</v>
      </c>
      <c r="B160">
        <v>511</v>
      </c>
      <c r="C160">
        <v>27594</v>
      </c>
      <c r="D160">
        <v>28210</v>
      </c>
      <c r="F160">
        <f>+F159-F161</f>
        <v>0</v>
      </c>
      <c r="G160">
        <f>+G159-G161</f>
        <v>0</v>
      </c>
      <c r="I160">
        <v>777725</v>
      </c>
    </row>
    <row r="161" spans="1:9" x14ac:dyDescent="0.3">
      <c r="A161" t="s">
        <v>71</v>
      </c>
      <c r="B161">
        <v>3046.1</v>
      </c>
      <c r="C161">
        <v>152305</v>
      </c>
      <c r="D161">
        <v>157611.04999999996</v>
      </c>
      <c r="F161">
        <v>118368.7</v>
      </c>
      <c r="G161">
        <v>6165578.7999999998</v>
      </c>
      <c r="I161">
        <v>52988</v>
      </c>
    </row>
    <row r="162" spans="1:9" x14ac:dyDescent="0.3">
      <c r="A162" t="s">
        <v>75</v>
      </c>
      <c r="B162">
        <v>150</v>
      </c>
      <c r="C162">
        <v>8700</v>
      </c>
      <c r="D162">
        <v>8700</v>
      </c>
      <c r="G162">
        <f>+G159+C166</f>
        <v>8306035.1999999993</v>
      </c>
      <c r="I162">
        <v>579047</v>
      </c>
    </row>
    <row r="163" spans="1:9" x14ac:dyDescent="0.3">
      <c r="A163" t="s">
        <v>127</v>
      </c>
      <c r="B163">
        <v>150</v>
      </c>
      <c r="C163">
        <v>8400</v>
      </c>
      <c r="D163">
        <v>8400</v>
      </c>
      <c r="I163">
        <v>21560</v>
      </c>
    </row>
    <row r="164" spans="1:9" x14ac:dyDescent="0.3">
      <c r="A164" t="s">
        <v>130</v>
      </c>
      <c r="B164">
        <v>70</v>
      </c>
      <c r="C164">
        <v>4130</v>
      </c>
      <c r="D164">
        <v>4130</v>
      </c>
      <c r="I164">
        <v>296374</v>
      </c>
    </row>
    <row r="165" spans="1:9" x14ac:dyDescent="0.3">
      <c r="A165" t="s">
        <v>91</v>
      </c>
      <c r="B165">
        <v>534</v>
      </c>
      <c r="C165">
        <v>30438</v>
      </c>
      <c r="D165">
        <v>30507</v>
      </c>
      <c r="I165">
        <v>621307.79999999993</v>
      </c>
    </row>
    <row r="166" spans="1:9" x14ac:dyDescent="0.3">
      <c r="B166">
        <f>SUM(B138:B165)</f>
        <v>38633.4</v>
      </c>
      <c r="C166">
        <f>SUM(C138:C165)</f>
        <v>2140456.4</v>
      </c>
      <c r="D166">
        <f>SUM(D138:D165)</f>
        <v>2194747.4499999997</v>
      </c>
      <c r="I166">
        <v>46880.5</v>
      </c>
    </row>
    <row r="167" spans="1:9" x14ac:dyDescent="0.3">
      <c r="B167">
        <f>+B166-B168</f>
        <v>0</v>
      </c>
      <c r="C167">
        <f>+C166-C168</f>
        <v>0</v>
      </c>
      <c r="D167">
        <f>+D166-D168</f>
        <v>-848766.80000000028</v>
      </c>
      <c r="E167" s="6">
        <f>+D166-[1]CXC!BL195</f>
        <v>2194747.4499999997</v>
      </c>
      <c r="F167" s="6">
        <f>+C166-[1]CXC!BL195</f>
        <v>2140456.4</v>
      </c>
      <c r="I167">
        <v>772815</v>
      </c>
    </row>
    <row r="168" spans="1:9" x14ac:dyDescent="0.3">
      <c r="A168">
        <v>25986.400000000001</v>
      </c>
      <c r="B168">
        <v>38633.4</v>
      </c>
      <c r="C168">
        <v>2140456.4</v>
      </c>
      <c r="D168">
        <v>3043514.25</v>
      </c>
      <c r="I168">
        <v>2184</v>
      </c>
    </row>
    <row r="169" spans="1:9" x14ac:dyDescent="0.3">
      <c r="I169">
        <v>52832</v>
      </c>
    </row>
    <row r="170" spans="1:9" x14ac:dyDescent="0.3">
      <c r="I170">
        <v>582296</v>
      </c>
    </row>
    <row r="171" spans="1:9" x14ac:dyDescent="0.3">
      <c r="I171">
        <v>169494</v>
      </c>
    </row>
    <row r="172" spans="1:9" x14ac:dyDescent="0.3">
      <c r="I172">
        <v>52962</v>
      </c>
    </row>
    <row r="173" spans="1:9" x14ac:dyDescent="0.3">
      <c r="I173">
        <v>47684</v>
      </c>
    </row>
    <row r="174" spans="1:9" x14ac:dyDescent="0.3">
      <c r="I174">
        <v>518726</v>
      </c>
    </row>
    <row r="175" spans="1:9" x14ac:dyDescent="0.3">
      <c r="I175">
        <v>132408</v>
      </c>
    </row>
    <row r="176" spans="1:9" x14ac:dyDescent="0.3">
      <c r="I176">
        <v>719576</v>
      </c>
    </row>
    <row r="177" spans="9:9" x14ac:dyDescent="0.3">
      <c r="I177">
        <v>552074.5</v>
      </c>
    </row>
    <row r="178" spans="9:9" x14ac:dyDescent="0.3">
      <c r="I178">
        <f>SUM(I158:I177)</f>
        <v>6214609.7999999998</v>
      </c>
    </row>
    <row r="179" spans="9:9" x14ac:dyDescent="0.3">
      <c r="I179">
        <f>+I178-I180</f>
        <v>848766.79999999981</v>
      </c>
    </row>
    <row r="180" spans="9:9" x14ac:dyDescent="0.3">
      <c r="I180">
        <v>5365843</v>
      </c>
    </row>
    <row r="181" spans="9:9" x14ac:dyDescent="0.3">
      <c r="I181">
        <f>+I178+D166</f>
        <v>8409357.25</v>
      </c>
    </row>
  </sheetData>
  <mergeCells count="4">
    <mergeCell ref="F32:G32"/>
    <mergeCell ref="F33:G33"/>
    <mergeCell ref="F34:G34"/>
    <mergeCell ref="E37:F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Lopez</dc:creator>
  <cp:lastModifiedBy>Kevin Lopez</cp:lastModifiedBy>
  <dcterms:created xsi:type="dcterms:W3CDTF">2026-09-17T14:48:34Z</dcterms:created>
  <dcterms:modified xsi:type="dcterms:W3CDTF">2026-09-17T14:48:50Z</dcterms:modified>
</cp:coreProperties>
</file>