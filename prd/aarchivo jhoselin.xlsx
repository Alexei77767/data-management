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"/>
    </mc:Choice>
  </mc:AlternateContent>
  <xr:revisionPtr revIDLastSave="0" documentId="8_{448AF07B-A339-4148-9DF3-3956ADA0D27A}" xr6:coauthVersionLast="47" xr6:coauthVersionMax="47" xr10:uidLastSave="{00000000-0000-0000-0000-000000000000}"/>
  <bookViews>
    <workbookView xWindow="-108" yWindow="-108" windowWidth="22536" windowHeight="13176" xr2:uid="{74953E0F-10A9-41C1-A298-2FB3E007CCD1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51" i="1" l="1"/>
  <c r="H851" i="1"/>
  <c r="H850" i="1"/>
  <c r="J850" i="1" s="1"/>
  <c r="G849" i="1"/>
  <c r="F849" i="1"/>
  <c r="H849" i="1" s="1"/>
  <c r="J849" i="1" s="1"/>
  <c r="G848" i="1"/>
  <c r="F848" i="1"/>
  <c r="H848" i="1" s="1"/>
  <c r="J848" i="1" s="1"/>
  <c r="G847" i="1"/>
  <c r="F847" i="1"/>
  <c r="H847" i="1" s="1"/>
  <c r="J847" i="1" s="1"/>
  <c r="G846" i="1"/>
  <c r="F846" i="1"/>
  <c r="H846" i="1" s="1"/>
  <c r="J846" i="1" s="1"/>
  <c r="G845" i="1"/>
  <c r="F845" i="1"/>
  <c r="H845" i="1" s="1"/>
  <c r="J845" i="1" s="1"/>
  <c r="H844" i="1"/>
  <c r="J844" i="1" s="1"/>
  <c r="J843" i="1"/>
  <c r="H843" i="1"/>
  <c r="F842" i="1"/>
  <c r="H842" i="1" s="1"/>
  <c r="J842" i="1" s="1"/>
  <c r="J841" i="1"/>
  <c r="H841" i="1"/>
  <c r="F840" i="1"/>
  <c r="H840" i="1" s="1"/>
  <c r="J840" i="1" s="1"/>
  <c r="J839" i="1"/>
  <c r="H839" i="1"/>
  <c r="H838" i="1"/>
  <c r="J838" i="1" s="1"/>
  <c r="H837" i="1"/>
  <c r="J837" i="1" s="1"/>
  <c r="F837" i="1"/>
  <c r="H836" i="1"/>
  <c r="J836" i="1" s="1"/>
  <c r="F835" i="1"/>
  <c r="H835" i="1" s="1"/>
  <c r="J835" i="1" s="1"/>
  <c r="F834" i="1"/>
  <c r="H834" i="1" s="1"/>
  <c r="J834" i="1" s="1"/>
  <c r="H833" i="1"/>
  <c r="J833" i="1" s="1"/>
  <c r="F833" i="1"/>
  <c r="H832" i="1"/>
  <c r="J832" i="1" s="1"/>
  <c r="F832" i="1"/>
  <c r="H831" i="1"/>
  <c r="J831" i="1" s="1"/>
  <c r="H830" i="1"/>
  <c r="J830" i="1" s="1"/>
  <c r="F830" i="1"/>
  <c r="H829" i="1"/>
  <c r="J829" i="1" s="1"/>
  <c r="F829" i="1"/>
  <c r="H828" i="1"/>
  <c r="J828" i="1" s="1"/>
  <c r="H827" i="1"/>
  <c r="J827" i="1" s="1"/>
  <c r="F827" i="1"/>
  <c r="H826" i="1"/>
  <c r="J826" i="1" s="1"/>
  <c r="H825" i="1"/>
  <c r="J825" i="1" s="1"/>
  <c r="H824" i="1"/>
  <c r="J824" i="1" s="1"/>
  <c r="J823" i="1"/>
  <c r="H823" i="1"/>
  <c r="J822" i="1"/>
  <c r="H822" i="1"/>
  <c r="J821" i="1"/>
  <c r="H821" i="1"/>
  <c r="H820" i="1"/>
  <c r="J820" i="1" s="1"/>
  <c r="H819" i="1"/>
  <c r="J819" i="1" s="1"/>
  <c r="J818" i="1"/>
  <c r="H818" i="1"/>
  <c r="H817" i="1"/>
  <c r="J817" i="1" s="1"/>
  <c r="J816" i="1"/>
  <c r="H816" i="1"/>
  <c r="G815" i="1"/>
  <c r="F815" i="1"/>
  <c r="H815" i="1" s="1"/>
  <c r="J815" i="1" s="1"/>
  <c r="G814" i="1"/>
  <c r="F814" i="1"/>
  <c r="H814" i="1" s="1"/>
  <c r="J814" i="1" s="1"/>
  <c r="G813" i="1"/>
  <c r="F813" i="1"/>
  <c r="H813" i="1" s="1"/>
  <c r="J813" i="1" s="1"/>
  <c r="G812" i="1"/>
  <c r="H812" i="1" s="1"/>
  <c r="J812" i="1" s="1"/>
  <c r="F812" i="1"/>
  <c r="J811" i="1"/>
  <c r="H811" i="1"/>
  <c r="H810" i="1"/>
  <c r="J810" i="1" s="1"/>
  <c r="F810" i="1"/>
  <c r="H809" i="1"/>
  <c r="J809" i="1" s="1"/>
  <c r="F808" i="1"/>
  <c r="H808" i="1" s="1"/>
  <c r="J808" i="1" s="1"/>
  <c r="F807" i="1"/>
  <c r="H807" i="1" s="1"/>
  <c r="J807" i="1" s="1"/>
  <c r="F806" i="1"/>
  <c r="H806" i="1" s="1"/>
  <c r="J806" i="1" s="1"/>
  <c r="H805" i="1"/>
  <c r="J805" i="1" s="1"/>
  <c r="J804" i="1"/>
  <c r="H804" i="1"/>
  <c r="G803" i="1"/>
  <c r="F803" i="1"/>
  <c r="H803" i="1" s="1"/>
  <c r="J803" i="1" s="1"/>
  <c r="H802" i="1"/>
  <c r="J802" i="1" s="1"/>
  <c r="H801" i="1"/>
  <c r="J801" i="1" s="1"/>
  <c r="H800" i="1"/>
  <c r="J800" i="1" s="1"/>
  <c r="H799" i="1"/>
  <c r="J799" i="1" s="1"/>
  <c r="H798" i="1"/>
  <c r="J798" i="1" s="1"/>
  <c r="H797" i="1"/>
  <c r="J797" i="1" s="1"/>
  <c r="F797" i="1"/>
  <c r="H796" i="1"/>
  <c r="J796" i="1" s="1"/>
  <c r="G795" i="1"/>
  <c r="F795" i="1"/>
  <c r="H795" i="1" s="1"/>
  <c r="J795" i="1" s="1"/>
  <c r="F794" i="1"/>
  <c r="H794" i="1" s="1"/>
  <c r="J794" i="1" s="1"/>
  <c r="G793" i="1"/>
  <c r="H793" i="1" s="1"/>
  <c r="J793" i="1" s="1"/>
  <c r="F793" i="1"/>
  <c r="H792" i="1"/>
  <c r="J792" i="1" s="1"/>
  <c r="J791" i="1"/>
  <c r="H791" i="1"/>
  <c r="F790" i="1"/>
  <c r="H790" i="1" s="1"/>
  <c r="J790" i="1" s="1"/>
  <c r="F789" i="1"/>
  <c r="H789" i="1" s="1"/>
  <c r="J789" i="1" s="1"/>
  <c r="H788" i="1"/>
  <c r="J788" i="1" s="1"/>
  <c r="H787" i="1"/>
  <c r="J787" i="1" s="1"/>
  <c r="H786" i="1"/>
  <c r="J786" i="1" s="1"/>
  <c r="H785" i="1"/>
  <c r="J785" i="1" s="1"/>
  <c r="J784" i="1"/>
  <c r="H784" i="1"/>
  <c r="F783" i="1"/>
  <c r="H783" i="1" s="1"/>
  <c r="J783" i="1" s="1"/>
  <c r="H782" i="1"/>
  <c r="J782" i="1" s="1"/>
  <c r="F782" i="1"/>
  <c r="H781" i="1"/>
  <c r="J781" i="1" s="1"/>
  <c r="F781" i="1"/>
  <c r="J780" i="1"/>
  <c r="H780" i="1"/>
  <c r="F779" i="1"/>
  <c r="H779" i="1" s="1"/>
  <c r="J779" i="1" s="1"/>
  <c r="F778" i="1"/>
  <c r="H778" i="1" s="1"/>
  <c r="J778" i="1" s="1"/>
  <c r="H777" i="1"/>
  <c r="J777" i="1" s="1"/>
  <c r="H776" i="1"/>
  <c r="J776" i="1" s="1"/>
  <c r="J775" i="1"/>
  <c r="H775" i="1"/>
  <c r="J774" i="1"/>
  <c r="H774" i="1"/>
  <c r="H773" i="1"/>
  <c r="J773" i="1" s="1"/>
  <c r="G773" i="1"/>
  <c r="J772" i="1"/>
  <c r="H772" i="1"/>
  <c r="F771" i="1"/>
  <c r="H771" i="1" s="1"/>
  <c r="J771" i="1" s="1"/>
  <c r="H770" i="1"/>
  <c r="J770" i="1" s="1"/>
  <c r="F770" i="1"/>
  <c r="H769" i="1"/>
  <c r="J769" i="1" s="1"/>
  <c r="J768" i="1"/>
  <c r="H768" i="1"/>
  <c r="H767" i="1"/>
  <c r="J767" i="1" s="1"/>
  <c r="F767" i="1"/>
  <c r="G766" i="1"/>
  <c r="H766" i="1" s="1"/>
  <c r="J766" i="1" s="1"/>
  <c r="F766" i="1"/>
  <c r="H765" i="1"/>
  <c r="J765" i="1" s="1"/>
  <c r="H764" i="1"/>
  <c r="J764" i="1" s="1"/>
  <c r="H763" i="1"/>
  <c r="J763" i="1" s="1"/>
  <c r="H762" i="1"/>
  <c r="J762" i="1" s="1"/>
  <c r="F761" i="1"/>
  <c r="H761" i="1" s="1"/>
  <c r="J761" i="1" s="1"/>
  <c r="H760" i="1"/>
  <c r="J760" i="1" s="1"/>
  <c r="F760" i="1"/>
  <c r="J759" i="1"/>
  <c r="H759" i="1"/>
  <c r="H758" i="1"/>
  <c r="J758" i="1" s="1"/>
  <c r="H757" i="1"/>
  <c r="J757" i="1" s="1"/>
  <c r="J756" i="1"/>
  <c r="H756" i="1"/>
  <c r="H755" i="1"/>
  <c r="J755" i="1" s="1"/>
  <c r="H754" i="1"/>
  <c r="J754" i="1" s="1"/>
  <c r="G753" i="1"/>
  <c r="H753" i="1" s="1"/>
  <c r="J753" i="1" s="1"/>
  <c r="F753" i="1"/>
  <c r="J752" i="1"/>
  <c r="H752" i="1"/>
  <c r="H751" i="1"/>
  <c r="J751" i="1" s="1"/>
  <c r="H750" i="1"/>
  <c r="J750" i="1" s="1"/>
  <c r="J749" i="1"/>
  <c r="H749" i="1"/>
  <c r="J748" i="1"/>
  <c r="H748" i="1"/>
  <c r="F747" i="1"/>
  <c r="H747" i="1" s="1"/>
  <c r="J747" i="1" s="1"/>
  <c r="F746" i="1"/>
  <c r="H746" i="1" s="1"/>
  <c r="J746" i="1" s="1"/>
  <c r="J745" i="1"/>
  <c r="H745" i="1"/>
  <c r="F745" i="1"/>
  <c r="H744" i="1"/>
  <c r="J744" i="1" s="1"/>
  <c r="J743" i="1"/>
  <c r="H743" i="1"/>
  <c r="J742" i="1"/>
  <c r="H742" i="1"/>
  <c r="F741" i="1"/>
  <c r="H741" i="1" s="1"/>
  <c r="J741" i="1" s="1"/>
  <c r="G740" i="1"/>
  <c r="F740" i="1"/>
  <c r="H740" i="1" s="1"/>
  <c r="J740" i="1" s="1"/>
  <c r="J739" i="1"/>
  <c r="H739" i="1"/>
  <c r="F739" i="1"/>
  <c r="F738" i="1"/>
  <c r="H738" i="1" s="1"/>
  <c r="J738" i="1" s="1"/>
  <c r="G737" i="1"/>
  <c r="F737" i="1"/>
  <c r="H737" i="1" s="1"/>
  <c r="J737" i="1" s="1"/>
  <c r="H736" i="1"/>
  <c r="J736" i="1" s="1"/>
  <c r="F735" i="1"/>
  <c r="H735" i="1" s="1"/>
  <c r="J735" i="1" s="1"/>
  <c r="H734" i="1"/>
  <c r="J734" i="1" s="1"/>
  <c r="J733" i="1"/>
  <c r="H733" i="1"/>
  <c r="F732" i="1"/>
  <c r="H732" i="1" s="1"/>
  <c r="J732" i="1" s="1"/>
  <c r="F731" i="1"/>
  <c r="H731" i="1" s="1"/>
  <c r="J731" i="1" s="1"/>
  <c r="G730" i="1"/>
  <c r="F730" i="1"/>
  <c r="H730" i="1" s="1"/>
  <c r="J730" i="1" s="1"/>
  <c r="F729" i="1"/>
  <c r="H729" i="1" s="1"/>
  <c r="J729" i="1" s="1"/>
  <c r="J728" i="1"/>
  <c r="H728" i="1"/>
  <c r="F728" i="1"/>
  <c r="H727" i="1"/>
  <c r="J727" i="1" s="1"/>
  <c r="H726" i="1"/>
  <c r="J726" i="1" s="1"/>
  <c r="F725" i="1"/>
  <c r="H725" i="1" s="1"/>
  <c r="J725" i="1" s="1"/>
  <c r="G724" i="1"/>
  <c r="F724" i="1"/>
  <c r="H724" i="1" s="1"/>
  <c r="J724" i="1" s="1"/>
  <c r="J723" i="1"/>
  <c r="H723" i="1"/>
  <c r="J722" i="1"/>
  <c r="H722" i="1"/>
  <c r="G722" i="1"/>
  <c r="F722" i="1"/>
  <c r="G721" i="1"/>
  <c r="F721" i="1"/>
  <c r="H721" i="1" s="1"/>
  <c r="J721" i="1" s="1"/>
  <c r="H720" i="1"/>
  <c r="J720" i="1" s="1"/>
  <c r="J719" i="1"/>
  <c r="H719" i="1"/>
  <c r="F719" i="1"/>
  <c r="J718" i="1"/>
  <c r="H718" i="1"/>
  <c r="J717" i="1"/>
  <c r="H717" i="1"/>
  <c r="F716" i="1"/>
  <c r="H716" i="1" s="1"/>
  <c r="J716" i="1" s="1"/>
  <c r="H715" i="1"/>
  <c r="J715" i="1" s="1"/>
  <c r="H714" i="1"/>
  <c r="J714" i="1" s="1"/>
  <c r="J713" i="1"/>
  <c r="H713" i="1"/>
  <c r="J712" i="1"/>
  <c r="H712" i="1"/>
  <c r="H711" i="1"/>
  <c r="J711" i="1" s="1"/>
  <c r="J710" i="1"/>
  <c r="H710" i="1"/>
  <c r="J709" i="1"/>
  <c r="H709" i="1"/>
  <c r="H708" i="1"/>
  <c r="J708" i="1" s="1"/>
  <c r="H707" i="1"/>
  <c r="J707" i="1" s="1"/>
  <c r="F706" i="1"/>
  <c r="H706" i="1" s="1"/>
  <c r="J706" i="1" s="1"/>
  <c r="H705" i="1"/>
  <c r="J705" i="1" s="1"/>
  <c r="F705" i="1"/>
  <c r="H704" i="1"/>
  <c r="J704" i="1" s="1"/>
  <c r="F704" i="1"/>
  <c r="J703" i="1"/>
  <c r="H703" i="1"/>
  <c r="G702" i="1"/>
  <c r="F702" i="1"/>
  <c r="H702" i="1" s="1"/>
  <c r="J702" i="1" s="1"/>
  <c r="H701" i="1"/>
  <c r="J701" i="1" s="1"/>
  <c r="F701" i="1"/>
  <c r="F700" i="1"/>
  <c r="H700" i="1" s="1"/>
  <c r="J700" i="1" s="1"/>
  <c r="G699" i="1"/>
  <c r="F699" i="1"/>
  <c r="H699" i="1" s="1"/>
  <c r="J699" i="1" s="1"/>
  <c r="H698" i="1"/>
  <c r="J698" i="1" s="1"/>
  <c r="G698" i="1"/>
  <c r="F698" i="1"/>
  <c r="H697" i="1"/>
  <c r="J697" i="1" s="1"/>
  <c r="F696" i="1"/>
  <c r="H696" i="1" s="1"/>
  <c r="J696" i="1" s="1"/>
  <c r="F695" i="1"/>
  <c r="H695" i="1" s="1"/>
  <c r="J695" i="1" s="1"/>
  <c r="J694" i="1"/>
  <c r="H694" i="1"/>
  <c r="H693" i="1"/>
  <c r="J693" i="1" s="1"/>
  <c r="H692" i="1"/>
  <c r="J692" i="1" s="1"/>
  <c r="F691" i="1"/>
  <c r="H691" i="1" s="1"/>
  <c r="J691" i="1" s="1"/>
  <c r="H690" i="1"/>
  <c r="J690" i="1" s="1"/>
  <c r="J689" i="1"/>
  <c r="H689" i="1"/>
  <c r="F688" i="1"/>
  <c r="H688" i="1" s="1"/>
  <c r="J688" i="1" s="1"/>
  <c r="H687" i="1"/>
  <c r="J687" i="1" s="1"/>
  <c r="F686" i="1"/>
  <c r="H686" i="1" s="1"/>
  <c r="J686" i="1" s="1"/>
  <c r="J685" i="1"/>
  <c r="H685" i="1"/>
  <c r="G685" i="1"/>
  <c r="F685" i="1"/>
  <c r="G684" i="1"/>
  <c r="H684" i="1" s="1"/>
  <c r="J684" i="1" s="1"/>
  <c r="F684" i="1"/>
  <c r="H683" i="1"/>
  <c r="J683" i="1" s="1"/>
  <c r="G682" i="1"/>
  <c r="F682" i="1"/>
  <c r="H682" i="1" s="1"/>
  <c r="J682" i="1" s="1"/>
  <c r="H681" i="1"/>
  <c r="J681" i="1" s="1"/>
  <c r="J680" i="1"/>
  <c r="H680" i="1"/>
  <c r="H679" i="1"/>
  <c r="J679" i="1" s="1"/>
  <c r="H678" i="1"/>
  <c r="J678" i="1" s="1"/>
  <c r="H677" i="1"/>
  <c r="J677" i="1" s="1"/>
  <c r="J676" i="1"/>
  <c r="H676" i="1"/>
  <c r="H675" i="1"/>
  <c r="J675" i="1" s="1"/>
  <c r="H674" i="1"/>
  <c r="J674" i="1" s="1"/>
  <c r="F673" i="1"/>
  <c r="H673" i="1" s="1"/>
  <c r="J673" i="1" s="1"/>
  <c r="F672" i="1"/>
  <c r="H672" i="1" s="1"/>
  <c r="J672" i="1" s="1"/>
  <c r="F671" i="1"/>
  <c r="H671" i="1" s="1"/>
  <c r="J671" i="1" s="1"/>
  <c r="G670" i="1"/>
  <c r="H670" i="1" s="1"/>
  <c r="J670" i="1" s="1"/>
  <c r="F670" i="1"/>
  <c r="J669" i="1"/>
  <c r="H669" i="1"/>
  <c r="H668" i="1"/>
  <c r="J668" i="1" s="1"/>
  <c r="H667" i="1"/>
  <c r="J667" i="1" s="1"/>
  <c r="G667" i="1"/>
  <c r="F667" i="1"/>
  <c r="G666" i="1"/>
  <c r="F666" i="1"/>
  <c r="H666" i="1" s="1"/>
  <c r="J666" i="1" s="1"/>
  <c r="H665" i="1"/>
  <c r="J665" i="1" s="1"/>
  <c r="H664" i="1"/>
  <c r="J664" i="1" s="1"/>
  <c r="G663" i="1"/>
  <c r="H663" i="1" s="1"/>
  <c r="J663" i="1" s="1"/>
  <c r="F663" i="1"/>
  <c r="H662" i="1"/>
  <c r="J662" i="1" s="1"/>
  <c r="G661" i="1"/>
  <c r="F661" i="1"/>
  <c r="H661" i="1" s="1"/>
  <c r="J661" i="1" s="1"/>
  <c r="H660" i="1"/>
  <c r="J660" i="1" s="1"/>
  <c r="H659" i="1"/>
  <c r="J659" i="1" s="1"/>
  <c r="H658" i="1"/>
  <c r="J658" i="1" s="1"/>
  <c r="H657" i="1"/>
  <c r="J657" i="1" s="1"/>
  <c r="J656" i="1"/>
  <c r="H656" i="1"/>
  <c r="J655" i="1"/>
  <c r="H655" i="1"/>
  <c r="G655" i="1"/>
  <c r="F655" i="1"/>
  <c r="H654" i="1"/>
  <c r="J654" i="1" s="1"/>
  <c r="J653" i="1"/>
  <c r="H653" i="1"/>
  <c r="H652" i="1"/>
  <c r="J652" i="1" s="1"/>
  <c r="F652" i="1"/>
  <c r="F651" i="1"/>
  <c r="H651" i="1" s="1"/>
  <c r="J651" i="1" s="1"/>
  <c r="G650" i="1"/>
  <c r="F650" i="1"/>
  <c r="H650" i="1" s="1"/>
  <c r="J650" i="1" s="1"/>
  <c r="J649" i="1"/>
  <c r="H649" i="1"/>
  <c r="H648" i="1"/>
  <c r="J648" i="1" s="1"/>
  <c r="H647" i="1"/>
  <c r="J647" i="1" s="1"/>
  <c r="H646" i="1"/>
  <c r="J646" i="1" s="1"/>
  <c r="F645" i="1"/>
  <c r="H645" i="1" s="1"/>
  <c r="J645" i="1" s="1"/>
  <c r="F644" i="1"/>
  <c r="H644" i="1" s="1"/>
  <c r="J644" i="1" s="1"/>
  <c r="H643" i="1"/>
  <c r="J643" i="1" s="1"/>
  <c r="G643" i="1"/>
  <c r="F643" i="1"/>
  <c r="G642" i="1"/>
  <c r="F642" i="1"/>
  <c r="H642" i="1" s="1"/>
  <c r="J642" i="1" s="1"/>
  <c r="H641" i="1"/>
  <c r="J641" i="1" s="1"/>
  <c r="G640" i="1"/>
  <c r="F640" i="1"/>
  <c r="H639" i="1"/>
  <c r="J639" i="1" s="1"/>
  <c r="H638" i="1"/>
  <c r="J638" i="1" s="1"/>
  <c r="F637" i="1"/>
  <c r="H637" i="1" s="1"/>
  <c r="J637" i="1" s="1"/>
  <c r="G636" i="1"/>
  <c r="H636" i="1" s="1"/>
  <c r="J636" i="1" s="1"/>
  <c r="F636" i="1"/>
  <c r="H635" i="1"/>
  <c r="J635" i="1" s="1"/>
  <c r="H634" i="1"/>
  <c r="J634" i="1" s="1"/>
  <c r="H633" i="1"/>
  <c r="J633" i="1" s="1"/>
  <c r="H632" i="1"/>
  <c r="J632" i="1" s="1"/>
  <c r="J631" i="1"/>
  <c r="H631" i="1"/>
  <c r="G631" i="1"/>
  <c r="F631" i="1"/>
  <c r="H630" i="1"/>
  <c r="J630" i="1" s="1"/>
  <c r="H629" i="1"/>
  <c r="J629" i="1" s="1"/>
  <c r="G629" i="1"/>
  <c r="F629" i="1"/>
  <c r="J628" i="1"/>
  <c r="H628" i="1"/>
  <c r="J627" i="1"/>
  <c r="H627" i="1"/>
  <c r="H626" i="1"/>
  <c r="J626" i="1" s="1"/>
  <c r="J625" i="1"/>
  <c r="H625" i="1"/>
  <c r="H624" i="1"/>
  <c r="J624" i="1" s="1"/>
  <c r="H623" i="1"/>
  <c r="J623" i="1" s="1"/>
  <c r="G623" i="1"/>
  <c r="F623" i="1"/>
  <c r="J622" i="1"/>
  <c r="H622" i="1"/>
  <c r="H621" i="1"/>
  <c r="J621" i="1" s="1"/>
  <c r="J620" i="1"/>
  <c r="H620" i="1"/>
  <c r="J619" i="1"/>
  <c r="H619" i="1"/>
  <c r="J618" i="1"/>
  <c r="H618" i="1"/>
  <c r="H617" i="1"/>
  <c r="J617" i="1" s="1"/>
  <c r="H616" i="1"/>
  <c r="J616" i="1" s="1"/>
  <c r="H615" i="1"/>
  <c r="J615" i="1" s="1"/>
  <c r="F614" i="1"/>
  <c r="H614" i="1" s="1"/>
  <c r="J614" i="1" s="1"/>
  <c r="J613" i="1"/>
  <c r="F613" i="1"/>
  <c r="H613" i="1" s="1"/>
  <c r="J612" i="1"/>
  <c r="H612" i="1"/>
  <c r="J611" i="1"/>
  <c r="H611" i="1"/>
  <c r="F610" i="1"/>
  <c r="H610" i="1" s="1"/>
  <c r="J610" i="1" s="1"/>
  <c r="H609" i="1"/>
  <c r="J609" i="1" s="1"/>
  <c r="G608" i="1"/>
  <c r="F608" i="1"/>
  <c r="H608" i="1" s="1"/>
  <c r="J608" i="1" s="1"/>
  <c r="J607" i="1"/>
  <c r="H607" i="1"/>
  <c r="J606" i="1"/>
  <c r="H606" i="1"/>
  <c r="H605" i="1"/>
  <c r="J605" i="1" s="1"/>
  <c r="J604" i="1"/>
  <c r="H604" i="1"/>
  <c r="H603" i="1"/>
  <c r="J603" i="1" s="1"/>
  <c r="H602" i="1"/>
  <c r="J602" i="1" s="1"/>
  <c r="H601" i="1"/>
  <c r="J601" i="1" s="1"/>
  <c r="J600" i="1"/>
  <c r="H600" i="1"/>
  <c r="H599" i="1"/>
  <c r="J599" i="1" s="1"/>
  <c r="H598" i="1"/>
  <c r="J598" i="1" s="1"/>
  <c r="F598" i="1"/>
  <c r="J597" i="1"/>
  <c r="H597" i="1"/>
  <c r="G597" i="1"/>
  <c r="F597" i="1"/>
  <c r="G596" i="1"/>
  <c r="F596" i="1"/>
  <c r="H596" i="1" s="1"/>
  <c r="J596" i="1" s="1"/>
  <c r="H595" i="1"/>
  <c r="J595" i="1" s="1"/>
  <c r="G594" i="1"/>
  <c r="F594" i="1"/>
  <c r="H594" i="1" s="1"/>
  <c r="J594" i="1" s="1"/>
  <c r="H593" i="1"/>
  <c r="J593" i="1" s="1"/>
  <c r="F593" i="1"/>
  <c r="F592" i="1"/>
  <c r="H592" i="1" s="1"/>
  <c r="J592" i="1" s="1"/>
  <c r="G591" i="1"/>
  <c r="F591" i="1"/>
  <c r="H591" i="1" s="1"/>
  <c r="J591" i="1" s="1"/>
  <c r="H590" i="1"/>
  <c r="J590" i="1" s="1"/>
  <c r="J589" i="1"/>
  <c r="H589" i="1"/>
  <c r="H588" i="1"/>
  <c r="J588" i="1" s="1"/>
  <c r="G587" i="1"/>
  <c r="H587" i="1" s="1"/>
  <c r="J587" i="1" s="1"/>
  <c r="F587" i="1"/>
  <c r="H586" i="1"/>
  <c r="J586" i="1" s="1"/>
  <c r="H585" i="1"/>
  <c r="J585" i="1" s="1"/>
  <c r="H584" i="1"/>
  <c r="J584" i="1" s="1"/>
  <c r="H583" i="1"/>
  <c r="J583" i="1" s="1"/>
  <c r="H582" i="1"/>
  <c r="J582" i="1" s="1"/>
  <c r="H581" i="1"/>
  <c r="J581" i="1" s="1"/>
  <c r="G581" i="1"/>
  <c r="F581" i="1"/>
  <c r="J580" i="1"/>
  <c r="H580" i="1"/>
  <c r="F580" i="1"/>
  <c r="F579" i="1"/>
  <c r="H579" i="1" s="1"/>
  <c r="J579" i="1" s="1"/>
  <c r="G578" i="1"/>
  <c r="F578" i="1"/>
  <c r="H578" i="1" s="1"/>
  <c r="J578" i="1" s="1"/>
  <c r="G577" i="1"/>
  <c r="F577" i="1"/>
  <c r="H577" i="1" s="1"/>
  <c r="J577" i="1" s="1"/>
  <c r="J576" i="1"/>
  <c r="H576" i="1"/>
  <c r="G576" i="1"/>
  <c r="F576" i="1"/>
  <c r="H575" i="1"/>
  <c r="J575" i="1" s="1"/>
  <c r="F574" i="1"/>
  <c r="H574" i="1" s="1"/>
  <c r="J574" i="1" s="1"/>
  <c r="H573" i="1"/>
  <c r="J573" i="1" s="1"/>
  <c r="F573" i="1"/>
  <c r="H572" i="1"/>
  <c r="J572" i="1" s="1"/>
  <c r="H571" i="1"/>
  <c r="J571" i="1" s="1"/>
  <c r="F571" i="1"/>
  <c r="H570" i="1"/>
  <c r="J570" i="1" s="1"/>
  <c r="G570" i="1"/>
  <c r="F570" i="1"/>
  <c r="H569" i="1"/>
  <c r="J569" i="1" s="1"/>
  <c r="J568" i="1"/>
  <c r="H568" i="1"/>
  <c r="H567" i="1"/>
  <c r="J567" i="1" s="1"/>
  <c r="J566" i="1"/>
  <c r="H566" i="1"/>
  <c r="H565" i="1"/>
  <c r="J565" i="1" s="1"/>
  <c r="F565" i="1"/>
  <c r="G564" i="1"/>
  <c r="H564" i="1" s="1"/>
  <c r="J564" i="1" s="1"/>
  <c r="F564" i="1"/>
  <c r="G563" i="1"/>
  <c r="F563" i="1"/>
  <c r="H563" i="1" s="1"/>
  <c r="J563" i="1" s="1"/>
  <c r="H562" i="1"/>
  <c r="J562" i="1" s="1"/>
  <c r="G561" i="1"/>
  <c r="H561" i="1" s="1"/>
  <c r="J561" i="1" s="1"/>
  <c r="F561" i="1"/>
  <c r="H560" i="1"/>
  <c r="J560" i="1" s="1"/>
  <c r="G559" i="1"/>
  <c r="H559" i="1" s="1"/>
  <c r="J559" i="1" s="1"/>
  <c r="F559" i="1"/>
  <c r="H558" i="1"/>
  <c r="J558" i="1" s="1"/>
  <c r="H557" i="1"/>
  <c r="J557" i="1" s="1"/>
  <c r="H556" i="1"/>
  <c r="J556" i="1" s="1"/>
  <c r="H555" i="1"/>
  <c r="J555" i="1" s="1"/>
  <c r="H554" i="1"/>
  <c r="J554" i="1" s="1"/>
  <c r="H553" i="1"/>
  <c r="J553" i="1" s="1"/>
  <c r="H552" i="1"/>
  <c r="J552" i="1" s="1"/>
  <c r="J551" i="1"/>
  <c r="H551" i="1"/>
  <c r="F551" i="1"/>
  <c r="H550" i="1"/>
  <c r="J550" i="1" s="1"/>
  <c r="H549" i="1"/>
  <c r="J549" i="1" s="1"/>
  <c r="J548" i="1"/>
  <c r="H548" i="1"/>
  <c r="H547" i="1"/>
  <c r="J547" i="1" s="1"/>
  <c r="H546" i="1"/>
  <c r="J546" i="1" s="1"/>
  <c r="H545" i="1"/>
  <c r="J545" i="1" s="1"/>
  <c r="H544" i="1"/>
  <c r="J544" i="1" s="1"/>
  <c r="J543" i="1"/>
  <c r="H543" i="1"/>
  <c r="H542" i="1"/>
  <c r="J542" i="1" s="1"/>
  <c r="H541" i="1"/>
  <c r="J541" i="1" s="1"/>
  <c r="H540" i="1"/>
  <c r="J540" i="1" s="1"/>
  <c r="H539" i="1"/>
  <c r="J539" i="1" s="1"/>
  <c r="H538" i="1"/>
  <c r="J538" i="1" s="1"/>
  <c r="H537" i="1"/>
  <c r="J537" i="1" s="1"/>
  <c r="J536" i="1"/>
  <c r="H536" i="1"/>
  <c r="J535" i="1"/>
  <c r="H535" i="1"/>
  <c r="H534" i="1"/>
  <c r="J534" i="1" s="1"/>
  <c r="J533" i="1"/>
  <c r="H533" i="1"/>
  <c r="H532" i="1"/>
  <c r="J532" i="1" s="1"/>
  <c r="H531" i="1"/>
  <c r="J531" i="1" s="1"/>
  <c r="H530" i="1"/>
  <c r="J530" i="1" s="1"/>
  <c r="H529" i="1"/>
  <c r="J529" i="1" s="1"/>
  <c r="H528" i="1"/>
  <c r="J528" i="1" s="1"/>
  <c r="J527" i="1"/>
  <c r="H527" i="1"/>
  <c r="H526" i="1"/>
  <c r="J526" i="1" s="1"/>
  <c r="H525" i="1"/>
  <c r="J525" i="1" s="1"/>
  <c r="H524" i="1"/>
  <c r="J524" i="1" s="1"/>
  <c r="H523" i="1"/>
  <c r="J523" i="1" s="1"/>
  <c r="H522" i="1"/>
  <c r="J522" i="1" s="1"/>
  <c r="J521" i="1"/>
  <c r="H521" i="1"/>
  <c r="J520" i="1"/>
  <c r="H520" i="1"/>
  <c r="J519" i="1"/>
  <c r="H519" i="1"/>
  <c r="H518" i="1"/>
  <c r="J518" i="1" s="1"/>
  <c r="J517" i="1"/>
  <c r="H517" i="1"/>
  <c r="J516" i="1"/>
  <c r="H516" i="1"/>
  <c r="H515" i="1"/>
  <c r="J515" i="1" s="1"/>
  <c r="H514" i="1"/>
  <c r="J514" i="1" s="1"/>
  <c r="H513" i="1"/>
  <c r="J513" i="1" s="1"/>
  <c r="J512" i="1"/>
  <c r="H512" i="1"/>
  <c r="J511" i="1"/>
  <c r="H511" i="1"/>
  <c r="H510" i="1"/>
  <c r="J510" i="1" s="1"/>
  <c r="H509" i="1"/>
  <c r="J509" i="1" s="1"/>
  <c r="H508" i="1"/>
  <c r="J508" i="1" s="1"/>
  <c r="H507" i="1"/>
  <c r="J507" i="1" s="1"/>
  <c r="H506" i="1"/>
  <c r="J506" i="1" s="1"/>
  <c r="H505" i="1"/>
  <c r="J505" i="1" s="1"/>
  <c r="H504" i="1"/>
  <c r="J504" i="1" s="1"/>
  <c r="J503" i="1"/>
  <c r="H503" i="1"/>
  <c r="H502" i="1"/>
  <c r="J502" i="1" s="1"/>
  <c r="H501" i="1"/>
  <c r="J501" i="1" s="1"/>
  <c r="J500" i="1"/>
  <c r="H500" i="1"/>
  <c r="J499" i="1"/>
  <c r="H499" i="1"/>
  <c r="H498" i="1"/>
  <c r="J498" i="1" s="1"/>
  <c r="H497" i="1"/>
  <c r="J497" i="1" s="1"/>
  <c r="H496" i="1"/>
  <c r="J496" i="1" s="1"/>
  <c r="J495" i="1"/>
  <c r="H495" i="1"/>
  <c r="H494" i="1"/>
  <c r="J494" i="1" s="1"/>
  <c r="J493" i="1"/>
  <c r="H493" i="1"/>
  <c r="H492" i="1"/>
  <c r="J492" i="1" s="1"/>
  <c r="H491" i="1"/>
  <c r="J491" i="1" s="1"/>
  <c r="H490" i="1"/>
  <c r="J490" i="1" s="1"/>
  <c r="H489" i="1"/>
  <c r="J489" i="1" s="1"/>
  <c r="H488" i="1"/>
  <c r="J488" i="1" s="1"/>
  <c r="J487" i="1"/>
  <c r="H487" i="1"/>
  <c r="H486" i="1"/>
  <c r="J486" i="1" s="1"/>
  <c r="H485" i="1"/>
  <c r="J485" i="1" s="1"/>
  <c r="H484" i="1"/>
  <c r="J484" i="1" s="1"/>
  <c r="J483" i="1"/>
  <c r="H483" i="1"/>
  <c r="J482" i="1"/>
  <c r="H482" i="1"/>
  <c r="H481" i="1"/>
  <c r="J481" i="1" s="1"/>
  <c r="J480" i="1"/>
  <c r="H480" i="1"/>
  <c r="J479" i="1"/>
  <c r="H479" i="1"/>
  <c r="H478" i="1"/>
  <c r="J478" i="1" s="1"/>
  <c r="H477" i="1"/>
  <c r="J477" i="1" s="1"/>
  <c r="J476" i="1"/>
  <c r="H476" i="1"/>
  <c r="H475" i="1"/>
  <c r="J475" i="1" s="1"/>
  <c r="H474" i="1"/>
  <c r="J474" i="1" s="1"/>
  <c r="H473" i="1"/>
  <c r="J473" i="1" s="1"/>
  <c r="H472" i="1"/>
  <c r="J472" i="1" s="1"/>
  <c r="J471" i="1"/>
  <c r="H471" i="1"/>
  <c r="H470" i="1"/>
  <c r="J470" i="1" s="1"/>
  <c r="H469" i="1"/>
  <c r="J469" i="1" s="1"/>
  <c r="H468" i="1"/>
  <c r="J468" i="1" s="1"/>
  <c r="H467" i="1"/>
  <c r="J467" i="1" s="1"/>
  <c r="J466" i="1"/>
  <c r="H466" i="1"/>
  <c r="J465" i="1"/>
  <c r="H465" i="1"/>
  <c r="H464" i="1"/>
  <c r="J464" i="1" s="1"/>
  <c r="J463" i="1"/>
  <c r="H463" i="1"/>
  <c r="H462" i="1"/>
  <c r="J462" i="1" s="1"/>
  <c r="J461" i="1"/>
  <c r="H461" i="1"/>
  <c r="J460" i="1"/>
  <c r="H460" i="1"/>
  <c r="J459" i="1"/>
  <c r="H459" i="1"/>
  <c r="H458" i="1"/>
  <c r="J458" i="1" s="1"/>
  <c r="H457" i="1"/>
  <c r="J457" i="1" s="1"/>
  <c r="H456" i="1"/>
  <c r="J456" i="1" s="1"/>
  <c r="J455" i="1"/>
  <c r="H455" i="1"/>
  <c r="H454" i="1"/>
  <c r="J454" i="1" s="1"/>
  <c r="H453" i="1"/>
  <c r="J453" i="1" s="1"/>
  <c r="H452" i="1"/>
  <c r="J452" i="1" s="1"/>
  <c r="J451" i="1"/>
  <c r="H451" i="1"/>
  <c r="H450" i="1"/>
  <c r="J450" i="1" s="1"/>
  <c r="J449" i="1"/>
  <c r="H449" i="1"/>
  <c r="J448" i="1"/>
  <c r="H448" i="1"/>
  <c r="J447" i="1"/>
  <c r="H447" i="1"/>
  <c r="H446" i="1"/>
  <c r="J446" i="1" s="1"/>
  <c r="H445" i="1"/>
  <c r="J445" i="1" s="1"/>
  <c r="H444" i="1"/>
  <c r="J444" i="1" s="1"/>
  <c r="H443" i="1"/>
  <c r="J443" i="1" s="1"/>
  <c r="J442" i="1"/>
  <c r="H442" i="1"/>
  <c r="H441" i="1"/>
  <c r="J441" i="1" s="1"/>
  <c r="H440" i="1"/>
  <c r="J440" i="1" s="1"/>
  <c r="J439" i="1"/>
  <c r="H439" i="1"/>
  <c r="H438" i="1"/>
  <c r="J438" i="1" s="1"/>
  <c r="H437" i="1"/>
  <c r="J437" i="1" s="1"/>
  <c r="H436" i="1"/>
  <c r="J436" i="1" s="1"/>
  <c r="H435" i="1"/>
  <c r="J435" i="1" s="1"/>
  <c r="J434" i="1"/>
  <c r="H434" i="1"/>
  <c r="H433" i="1"/>
  <c r="J433" i="1" s="1"/>
  <c r="J432" i="1"/>
  <c r="H432" i="1"/>
  <c r="J431" i="1"/>
  <c r="H431" i="1"/>
  <c r="H430" i="1"/>
  <c r="J430" i="1" s="1"/>
  <c r="H429" i="1"/>
  <c r="J429" i="1" s="1"/>
  <c r="H428" i="1"/>
  <c r="J428" i="1" s="1"/>
  <c r="H427" i="1"/>
  <c r="J427" i="1" s="1"/>
  <c r="H426" i="1"/>
  <c r="J426" i="1" s="1"/>
  <c r="J425" i="1"/>
  <c r="H425" i="1"/>
  <c r="H424" i="1"/>
  <c r="J424" i="1" s="1"/>
  <c r="J423" i="1"/>
  <c r="H423" i="1"/>
  <c r="H422" i="1"/>
  <c r="J422" i="1" s="1"/>
  <c r="H421" i="1"/>
  <c r="J421" i="1" s="1"/>
  <c r="H420" i="1"/>
  <c r="J420" i="1" s="1"/>
  <c r="H419" i="1"/>
  <c r="J419" i="1" s="1"/>
  <c r="H418" i="1"/>
  <c r="J418" i="1" s="1"/>
  <c r="H417" i="1"/>
  <c r="J417" i="1" s="1"/>
  <c r="H416" i="1"/>
  <c r="J416" i="1" s="1"/>
  <c r="J415" i="1"/>
  <c r="H415" i="1"/>
  <c r="H414" i="1"/>
  <c r="J414" i="1" s="1"/>
  <c r="H413" i="1"/>
  <c r="J413" i="1" s="1"/>
  <c r="H412" i="1"/>
  <c r="J412" i="1" s="1"/>
  <c r="H411" i="1"/>
  <c r="J411" i="1" s="1"/>
  <c r="H410" i="1"/>
  <c r="J410" i="1" s="1"/>
  <c r="H409" i="1"/>
  <c r="J409" i="1" s="1"/>
  <c r="J408" i="1"/>
  <c r="H408" i="1"/>
  <c r="J407" i="1"/>
  <c r="H407" i="1"/>
  <c r="H406" i="1"/>
  <c r="J406" i="1" s="1"/>
  <c r="J405" i="1"/>
  <c r="H405" i="1"/>
  <c r="H404" i="1"/>
  <c r="J404" i="1" s="1"/>
  <c r="H403" i="1"/>
  <c r="J403" i="1" s="1"/>
  <c r="H402" i="1"/>
  <c r="J402" i="1" s="1"/>
  <c r="H401" i="1"/>
  <c r="J401" i="1" s="1"/>
  <c r="H400" i="1"/>
  <c r="J400" i="1" s="1"/>
  <c r="J399" i="1"/>
  <c r="H399" i="1"/>
  <c r="H398" i="1"/>
  <c r="J398" i="1" s="1"/>
  <c r="H397" i="1"/>
  <c r="J397" i="1" s="1"/>
  <c r="H396" i="1"/>
  <c r="J396" i="1" s="1"/>
  <c r="H395" i="1"/>
  <c r="J395" i="1" s="1"/>
  <c r="J394" i="1"/>
  <c r="H394" i="1"/>
  <c r="J393" i="1"/>
  <c r="H393" i="1"/>
  <c r="H392" i="1"/>
  <c r="J392" i="1" s="1"/>
  <c r="J391" i="1"/>
  <c r="H391" i="1"/>
  <c r="H390" i="1"/>
  <c r="J390" i="1" s="1"/>
  <c r="J389" i="1"/>
  <c r="H389" i="1"/>
  <c r="J388" i="1"/>
  <c r="H388" i="1"/>
  <c r="H387" i="1"/>
  <c r="J387" i="1" s="1"/>
  <c r="H386" i="1"/>
  <c r="J386" i="1" s="1"/>
  <c r="J385" i="1"/>
  <c r="H385" i="1"/>
  <c r="J384" i="1"/>
  <c r="H384" i="1"/>
  <c r="J383" i="1"/>
  <c r="H383" i="1"/>
  <c r="H382" i="1"/>
  <c r="J382" i="1" s="1"/>
  <c r="H381" i="1"/>
  <c r="J381" i="1" s="1"/>
  <c r="H380" i="1"/>
  <c r="J380" i="1" s="1"/>
  <c r="H379" i="1"/>
  <c r="J379" i="1" s="1"/>
  <c r="H378" i="1"/>
  <c r="J378" i="1" s="1"/>
  <c r="H377" i="1"/>
  <c r="J377" i="1" s="1"/>
  <c r="H376" i="1"/>
  <c r="J376" i="1" s="1"/>
  <c r="H375" i="1"/>
  <c r="J375" i="1" s="1"/>
  <c r="H374" i="1"/>
  <c r="J374" i="1" s="1"/>
  <c r="J373" i="1"/>
  <c r="H373" i="1"/>
  <c r="H372" i="1"/>
  <c r="J372" i="1" s="1"/>
  <c r="H371" i="1"/>
  <c r="J371" i="1" s="1"/>
  <c r="H370" i="1"/>
  <c r="J370" i="1" s="1"/>
  <c r="H369" i="1"/>
  <c r="J369" i="1" s="1"/>
  <c r="H368" i="1"/>
  <c r="J368" i="1" s="1"/>
  <c r="H367" i="1"/>
  <c r="J367" i="1" s="1"/>
  <c r="H366" i="1"/>
  <c r="J366" i="1" s="1"/>
  <c r="J365" i="1"/>
  <c r="H365" i="1"/>
  <c r="J364" i="1"/>
  <c r="H364" i="1"/>
  <c r="H363" i="1"/>
  <c r="J363" i="1" s="1"/>
  <c r="H362" i="1"/>
  <c r="J362" i="1" s="1"/>
  <c r="F362" i="1"/>
  <c r="H361" i="1"/>
  <c r="J361" i="1" s="1"/>
  <c r="J360" i="1"/>
  <c r="H360" i="1"/>
  <c r="H359" i="1"/>
  <c r="J359" i="1" s="1"/>
  <c r="H358" i="1"/>
  <c r="J358" i="1" s="1"/>
  <c r="H357" i="1"/>
  <c r="J357" i="1" s="1"/>
  <c r="J356" i="1"/>
  <c r="H356" i="1"/>
  <c r="H355" i="1"/>
  <c r="J355" i="1" s="1"/>
  <c r="J354" i="1"/>
  <c r="H354" i="1"/>
  <c r="J353" i="1"/>
  <c r="H353" i="1"/>
  <c r="J352" i="1"/>
  <c r="H352" i="1"/>
  <c r="H351" i="1"/>
  <c r="J351" i="1" s="1"/>
  <c r="H350" i="1"/>
  <c r="J350" i="1" s="1"/>
  <c r="H349" i="1"/>
  <c r="J349" i="1" s="1"/>
  <c r="H348" i="1"/>
  <c r="J348" i="1" s="1"/>
  <c r="H347" i="1"/>
  <c r="J347" i="1" s="1"/>
  <c r="H346" i="1"/>
  <c r="J346" i="1" s="1"/>
  <c r="J345" i="1"/>
  <c r="H345" i="1"/>
  <c r="J344" i="1"/>
  <c r="H344" i="1"/>
  <c r="H343" i="1"/>
  <c r="J343" i="1" s="1"/>
  <c r="H342" i="1"/>
  <c r="J342" i="1" s="1"/>
  <c r="H341" i="1"/>
  <c r="J341" i="1" s="1"/>
  <c r="H340" i="1"/>
  <c r="J340" i="1" s="1"/>
  <c r="H339" i="1"/>
  <c r="J339" i="1" s="1"/>
  <c r="H338" i="1"/>
  <c r="J338" i="1" s="1"/>
  <c r="H337" i="1"/>
  <c r="J337" i="1" s="1"/>
  <c r="J336" i="1"/>
  <c r="H336" i="1"/>
  <c r="H335" i="1"/>
  <c r="J335" i="1" s="1"/>
  <c r="H334" i="1"/>
  <c r="J334" i="1" s="1"/>
  <c r="H333" i="1"/>
  <c r="J333" i="1" s="1"/>
  <c r="H332" i="1"/>
  <c r="J332" i="1" s="1"/>
  <c r="H331" i="1"/>
  <c r="J331" i="1" s="1"/>
  <c r="H330" i="1"/>
  <c r="J330" i="1" s="1"/>
  <c r="H329" i="1"/>
  <c r="J329" i="1" s="1"/>
  <c r="J328" i="1"/>
  <c r="H328" i="1"/>
  <c r="H327" i="1"/>
  <c r="J327" i="1" s="1"/>
  <c r="H326" i="1"/>
  <c r="J326" i="1" s="1"/>
  <c r="J325" i="1"/>
  <c r="H325" i="1"/>
  <c r="H324" i="1"/>
  <c r="J324" i="1" s="1"/>
  <c r="J323" i="1"/>
  <c r="H323" i="1"/>
  <c r="J322" i="1"/>
  <c r="H322" i="1"/>
  <c r="H321" i="1"/>
  <c r="J321" i="1" s="1"/>
  <c r="J320" i="1"/>
  <c r="H320" i="1"/>
  <c r="H319" i="1"/>
  <c r="J319" i="1" s="1"/>
  <c r="H318" i="1"/>
  <c r="J318" i="1" s="1"/>
  <c r="J317" i="1"/>
  <c r="H317" i="1"/>
  <c r="J316" i="1"/>
  <c r="H316" i="1"/>
  <c r="H315" i="1"/>
  <c r="J315" i="1" s="1"/>
  <c r="H314" i="1"/>
  <c r="J314" i="1" s="1"/>
  <c r="H313" i="1"/>
  <c r="J313" i="1" s="1"/>
  <c r="J312" i="1"/>
  <c r="H312" i="1"/>
  <c r="H311" i="1"/>
  <c r="J311" i="1" s="1"/>
  <c r="H310" i="1"/>
  <c r="J310" i="1" s="1"/>
  <c r="H309" i="1"/>
  <c r="J309" i="1" s="1"/>
  <c r="J308" i="1"/>
  <c r="H308" i="1"/>
  <c r="J307" i="1"/>
  <c r="H307" i="1"/>
  <c r="H306" i="1"/>
  <c r="J306" i="1" s="1"/>
  <c r="J305" i="1"/>
  <c r="H305" i="1"/>
  <c r="J304" i="1"/>
  <c r="H304" i="1"/>
  <c r="H303" i="1"/>
  <c r="J303" i="1" s="1"/>
  <c r="H302" i="1"/>
  <c r="J302" i="1" s="1"/>
  <c r="H301" i="1"/>
  <c r="J301" i="1" s="1"/>
  <c r="H300" i="1"/>
  <c r="J300" i="1" s="1"/>
  <c r="J299" i="1"/>
  <c r="H299" i="1"/>
  <c r="J298" i="1"/>
  <c r="H298" i="1"/>
  <c r="H297" i="1"/>
  <c r="J297" i="1" s="1"/>
  <c r="J296" i="1"/>
  <c r="H296" i="1"/>
  <c r="H295" i="1"/>
  <c r="J295" i="1" s="1"/>
  <c r="H294" i="1"/>
  <c r="J294" i="1" s="1"/>
  <c r="H293" i="1"/>
  <c r="J293" i="1" s="1"/>
  <c r="H292" i="1"/>
  <c r="J292" i="1" s="1"/>
  <c r="H291" i="1"/>
  <c r="J291" i="1" s="1"/>
  <c r="J290" i="1"/>
  <c r="H290" i="1"/>
  <c r="J289" i="1"/>
  <c r="H289" i="1"/>
  <c r="J288" i="1"/>
  <c r="H288" i="1"/>
  <c r="H287" i="1"/>
  <c r="J287" i="1" s="1"/>
  <c r="H286" i="1"/>
  <c r="J286" i="1" s="1"/>
  <c r="H285" i="1"/>
  <c r="J285" i="1" s="1"/>
  <c r="H284" i="1"/>
  <c r="J284" i="1" s="1"/>
  <c r="J283" i="1"/>
  <c r="H283" i="1"/>
  <c r="H282" i="1"/>
  <c r="J282" i="1" s="1"/>
  <c r="J281" i="1"/>
  <c r="H281" i="1"/>
  <c r="J280" i="1"/>
  <c r="H280" i="1"/>
  <c r="H279" i="1"/>
  <c r="J279" i="1" s="1"/>
  <c r="H278" i="1"/>
  <c r="J278" i="1" s="1"/>
  <c r="H277" i="1"/>
  <c r="J277" i="1" s="1"/>
  <c r="H276" i="1"/>
  <c r="J276" i="1" s="1"/>
  <c r="J275" i="1"/>
  <c r="H275" i="1"/>
  <c r="H274" i="1"/>
  <c r="J274" i="1" s="1"/>
  <c r="H273" i="1"/>
  <c r="J273" i="1" s="1"/>
  <c r="J272" i="1"/>
  <c r="H272" i="1"/>
  <c r="H271" i="1"/>
  <c r="J271" i="1" s="1"/>
  <c r="H270" i="1"/>
  <c r="J270" i="1" s="1"/>
  <c r="H269" i="1"/>
  <c r="J269" i="1" s="1"/>
  <c r="H268" i="1"/>
  <c r="J268" i="1" s="1"/>
  <c r="H267" i="1"/>
  <c r="J267" i="1" s="1"/>
  <c r="H266" i="1"/>
  <c r="J266" i="1" s="1"/>
  <c r="J265" i="1"/>
  <c r="H265" i="1"/>
  <c r="J264" i="1"/>
  <c r="H264" i="1"/>
  <c r="J263" i="1"/>
  <c r="H263" i="1"/>
  <c r="H262" i="1"/>
  <c r="J262" i="1" s="1"/>
  <c r="H261" i="1"/>
  <c r="J261" i="1" s="1"/>
  <c r="H260" i="1"/>
  <c r="J260" i="1" s="1"/>
  <c r="H259" i="1"/>
  <c r="J259" i="1" s="1"/>
  <c r="J258" i="1"/>
  <c r="H258" i="1"/>
  <c r="H257" i="1"/>
  <c r="J257" i="1" s="1"/>
  <c r="J256" i="1"/>
  <c r="H256" i="1"/>
  <c r="J255" i="1"/>
  <c r="H255" i="1"/>
  <c r="H254" i="1"/>
  <c r="J254" i="1" s="1"/>
  <c r="J253" i="1"/>
  <c r="H253" i="1"/>
  <c r="H252" i="1"/>
  <c r="J252" i="1" s="1"/>
  <c r="H251" i="1"/>
  <c r="J251" i="1" s="1"/>
  <c r="H250" i="1"/>
  <c r="J250" i="1" s="1"/>
  <c r="H249" i="1"/>
  <c r="J249" i="1" s="1"/>
  <c r="J248" i="1"/>
  <c r="H248" i="1"/>
  <c r="H247" i="1"/>
  <c r="J247" i="1" s="1"/>
  <c r="H246" i="1"/>
  <c r="J246" i="1" s="1"/>
  <c r="J245" i="1"/>
  <c r="H245" i="1"/>
  <c r="J244" i="1"/>
  <c r="H244" i="1"/>
  <c r="H243" i="1"/>
  <c r="J243" i="1" s="1"/>
  <c r="H242" i="1"/>
  <c r="J242" i="1" s="1"/>
  <c r="H241" i="1"/>
  <c r="J241" i="1" s="1"/>
  <c r="J240" i="1"/>
  <c r="H240" i="1"/>
  <c r="H239" i="1"/>
  <c r="J239" i="1" s="1"/>
  <c r="H238" i="1"/>
  <c r="J238" i="1" s="1"/>
  <c r="H237" i="1"/>
  <c r="J237" i="1" s="1"/>
  <c r="J236" i="1"/>
  <c r="H236" i="1"/>
  <c r="J235" i="1"/>
  <c r="H235" i="1"/>
  <c r="H234" i="1"/>
  <c r="J234" i="1" s="1"/>
  <c r="J233" i="1"/>
  <c r="H233" i="1"/>
  <c r="J232" i="1"/>
  <c r="H232" i="1"/>
  <c r="H231" i="1"/>
  <c r="J231" i="1" s="1"/>
  <c r="H230" i="1"/>
  <c r="J230" i="1" s="1"/>
  <c r="H229" i="1"/>
  <c r="J229" i="1" s="1"/>
  <c r="H228" i="1"/>
  <c r="J228" i="1" s="1"/>
  <c r="J227" i="1"/>
  <c r="H227" i="1"/>
  <c r="J226" i="1"/>
  <c r="H226" i="1"/>
  <c r="H225" i="1"/>
  <c r="J225" i="1" s="1"/>
  <c r="J224" i="1"/>
  <c r="H224" i="1"/>
  <c r="H223" i="1"/>
  <c r="J223" i="1" s="1"/>
  <c r="H222" i="1"/>
  <c r="J222" i="1" s="1"/>
  <c r="H221" i="1"/>
  <c r="J221" i="1" s="1"/>
  <c r="H220" i="1"/>
  <c r="J220" i="1" s="1"/>
  <c r="H219" i="1"/>
  <c r="J219" i="1" s="1"/>
  <c r="J218" i="1"/>
  <c r="H218" i="1"/>
  <c r="J217" i="1"/>
  <c r="H217" i="1"/>
  <c r="J216" i="1"/>
  <c r="H216" i="1"/>
  <c r="H215" i="1"/>
  <c r="J215" i="1" s="1"/>
  <c r="H214" i="1"/>
  <c r="J214" i="1" s="1"/>
  <c r="H213" i="1"/>
  <c r="J213" i="1" s="1"/>
  <c r="H212" i="1"/>
  <c r="J212" i="1" s="1"/>
  <c r="H211" i="1"/>
  <c r="J211" i="1" s="1"/>
  <c r="H210" i="1"/>
  <c r="J210" i="1" s="1"/>
  <c r="J209" i="1"/>
  <c r="H209" i="1"/>
  <c r="J208" i="1"/>
  <c r="H208" i="1"/>
  <c r="H207" i="1"/>
  <c r="J207" i="1" s="1"/>
  <c r="H206" i="1"/>
  <c r="J206" i="1" s="1"/>
  <c r="H205" i="1"/>
  <c r="J205" i="1" s="1"/>
  <c r="J204" i="1"/>
  <c r="H204" i="1"/>
  <c r="J203" i="1"/>
  <c r="H203" i="1"/>
  <c r="H202" i="1"/>
  <c r="J202" i="1" s="1"/>
  <c r="H201" i="1"/>
  <c r="J201" i="1" s="1"/>
  <c r="J200" i="1"/>
  <c r="H200" i="1"/>
  <c r="J199" i="1"/>
  <c r="H199" i="1"/>
  <c r="H198" i="1"/>
  <c r="J198" i="1" s="1"/>
  <c r="H197" i="1"/>
  <c r="J197" i="1" s="1"/>
  <c r="H196" i="1"/>
  <c r="J196" i="1" s="1"/>
  <c r="J195" i="1"/>
  <c r="H195" i="1"/>
  <c r="J194" i="1"/>
  <c r="H194" i="1"/>
  <c r="J193" i="1"/>
  <c r="H193" i="1"/>
  <c r="J192" i="1"/>
  <c r="H192" i="1"/>
  <c r="J191" i="1"/>
  <c r="H191" i="1"/>
  <c r="H190" i="1"/>
  <c r="J190" i="1" s="1"/>
  <c r="H189" i="1"/>
  <c r="J189" i="1" s="1"/>
  <c r="H188" i="1"/>
  <c r="J188" i="1" s="1"/>
  <c r="H187" i="1"/>
  <c r="K187" i="1" s="1"/>
  <c r="H186" i="1"/>
  <c r="J186" i="1" s="1"/>
  <c r="O185" i="1"/>
  <c r="H185" i="1"/>
  <c r="J185" i="1" s="1"/>
  <c r="H184" i="1"/>
  <c r="J184" i="1" s="1"/>
  <c r="H183" i="1"/>
  <c r="J183" i="1" s="1"/>
  <c r="J182" i="1"/>
  <c r="H182" i="1"/>
  <c r="J181" i="1"/>
  <c r="H181" i="1"/>
  <c r="H180" i="1"/>
  <c r="J180" i="1" s="1"/>
  <c r="H179" i="1"/>
  <c r="J179" i="1" s="1"/>
  <c r="J178" i="1"/>
  <c r="H178" i="1"/>
  <c r="J177" i="1"/>
  <c r="H177" i="1"/>
  <c r="H176" i="1"/>
  <c r="J176" i="1" s="1"/>
  <c r="H175" i="1"/>
  <c r="K174" i="1"/>
  <c r="J174" i="1"/>
  <c r="H174" i="1"/>
  <c r="H173" i="1"/>
  <c r="J173" i="1" s="1"/>
  <c r="J172" i="1"/>
  <c r="H172" i="1"/>
  <c r="H171" i="1"/>
  <c r="J171" i="1" s="1"/>
  <c r="H170" i="1"/>
  <c r="J170" i="1" s="1"/>
  <c r="H169" i="1"/>
  <c r="J169" i="1" s="1"/>
  <c r="J168" i="1"/>
  <c r="H168" i="1"/>
  <c r="H167" i="1"/>
  <c r="J167" i="1" s="1"/>
  <c r="J166" i="1"/>
  <c r="H166" i="1"/>
  <c r="H165" i="1"/>
  <c r="J165" i="1" s="1"/>
  <c r="K164" i="1"/>
  <c r="J164" i="1"/>
  <c r="H164" i="1"/>
  <c r="H163" i="1"/>
  <c r="J162" i="1"/>
  <c r="H162" i="1"/>
  <c r="H161" i="1"/>
  <c r="J161" i="1" s="1"/>
  <c r="J160" i="1"/>
  <c r="H160" i="1"/>
  <c r="H159" i="1"/>
  <c r="J159" i="1" s="1"/>
  <c r="H158" i="1"/>
  <c r="J158" i="1" s="1"/>
  <c r="H157" i="1"/>
  <c r="J157" i="1" s="1"/>
  <c r="H156" i="1"/>
  <c r="K162" i="1" s="1"/>
  <c r="H155" i="1"/>
  <c r="K155" i="1" s="1"/>
  <c r="J154" i="1"/>
  <c r="H154" i="1"/>
  <c r="H153" i="1"/>
  <c r="J153" i="1" s="1"/>
  <c r="K152" i="1"/>
  <c r="J152" i="1"/>
  <c r="H152" i="1"/>
  <c r="H151" i="1"/>
  <c r="J151" i="1" s="1"/>
  <c r="H150" i="1"/>
  <c r="J150" i="1" s="1"/>
  <c r="J149" i="1"/>
  <c r="H149" i="1"/>
  <c r="J148" i="1"/>
  <c r="H148" i="1"/>
  <c r="K148" i="1" s="1"/>
  <c r="H147" i="1"/>
  <c r="J146" i="1"/>
  <c r="H146" i="1"/>
  <c r="H145" i="1"/>
  <c r="J145" i="1" s="1"/>
  <c r="H144" i="1"/>
  <c r="J144" i="1" s="1"/>
  <c r="J143" i="1"/>
  <c r="H143" i="1"/>
  <c r="H142" i="1"/>
  <c r="J142" i="1" s="1"/>
  <c r="J141" i="1"/>
  <c r="H141" i="1"/>
  <c r="J140" i="1"/>
  <c r="H140" i="1"/>
  <c r="J139" i="1"/>
  <c r="H139" i="1"/>
  <c r="H138" i="1"/>
  <c r="J138" i="1" s="1"/>
  <c r="J137" i="1"/>
  <c r="H137" i="1"/>
  <c r="K138" i="1" s="1"/>
  <c r="H136" i="1"/>
  <c r="J136" i="1" s="1"/>
  <c r="H135" i="1"/>
  <c r="J135" i="1" s="1"/>
  <c r="H134" i="1"/>
  <c r="J134" i="1" s="1"/>
  <c r="J133" i="1"/>
  <c r="H133" i="1"/>
  <c r="H132" i="1"/>
  <c r="J132" i="1" s="1"/>
  <c r="J131" i="1"/>
  <c r="H131" i="1"/>
  <c r="H130" i="1"/>
  <c r="J130" i="1" s="1"/>
  <c r="H129" i="1"/>
  <c r="J129" i="1" s="1"/>
  <c r="H128" i="1"/>
  <c r="J128" i="1" s="1"/>
  <c r="H127" i="1"/>
  <c r="J127" i="1" s="1"/>
  <c r="H126" i="1"/>
  <c r="J126" i="1" s="1"/>
  <c r="K125" i="1"/>
  <c r="J125" i="1"/>
  <c r="H125" i="1"/>
  <c r="H124" i="1"/>
  <c r="J124" i="1" s="1"/>
  <c r="H123" i="1"/>
  <c r="J123" i="1" s="1"/>
  <c r="H122" i="1"/>
  <c r="H121" i="1"/>
  <c r="J121" i="1" s="1"/>
  <c r="H120" i="1"/>
  <c r="J120" i="1" s="1"/>
  <c r="H119" i="1"/>
  <c r="J119" i="1" s="1"/>
  <c r="H118" i="1"/>
  <c r="J118" i="1" s="1"/>
  <c r="K117" i="1"/>
  <c r="J117" i="1"/>
  <c r="H117" i="1"/>
  <c r="H116" i="1"/>
  <c r="J116" i="1" s="1"/>
  <c r="H115" i="1"/>
  <c r="J115" i="1" s="1"/>
  <c r="H114" i="1"/>
  <c r="J114" i="1" s="1"/>
  <c r="H113" i="1"/>
  <c r="J113" i="1" s="1"/>
  <c r="H112" i="1"/>
  <c r="J112" i="1" s="1"/>
  <c r="H111" i="1"/>
  <c r="J111" i="1" s="1"/>
  <c r="H110" i="1"/>
  <c r="J110" i="1" s="1"/>
  <c r="H109" i="1"/>
  <c r="J109" i="1" s="1"/>
  <c r="H108" i="1"/>
  <c r="J108" i="1" s="1"/>
  <c r="J107" i="1"/>
  <c r="H107" i="1"/>
  <c r="H106" i="1"/>
  <c r="J106" i="1" s="1"/>
  <c r="H105" i="1"/>
  <c r="J105" i="1" s="1"/>
  <c r="H104" i="1"/>
  <c r="J104" i="1" s="1"/>
  <c r="H103" i="1"/>
  <c r="J102" i="1"/>
  <c r="H102" i="1"/>
  <c r="H101" i="1"/>
  <c r="J101" i="1" s="1"/>
  <c r="H100" i="1"/>
  <c r="J100" i="1" s="1"/>
  <c r="H99" i="1"/>
  <c r="J99" i="1" s="1"/>
  <c r="J98" i="1"/>
  <c r="H98" i="1"/>
  <c r="H97" i="1"/>
  <c r="H96" i="1"/>
  <c r="K95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H88" i="1"/>
  <c r="J88" i="1" s="1"/>
  <c r="J87" i="1"/>
  <c r="H87" i="1"/>
  <c r="J86" i="1"/>
  <c r="H86" i="1"/>
  <c r="J85" i="1"/>
  <c r="H85" i="1"/>
  <c r="J84" i="1"/>
  <c r="H84" i="1"/>
  <c r="J83" i="1"/>
  <c r="H83" i="1"/>
  <c r="J82" i="1"/>
  <c r="H82" i="1"/>
  <c r="H81" i="1"/>
  <c r="J81" i="1" s="1"/>
  <c r="H80" i="1"/>
  <c r="K81" i="1" s="1"/>
  <c r="H79" i="1"/>
  <c r="J79" i="1" s="1"/>
  <c r="H78" i="1"/>
  <c r="J78" i="1" s="1"/>
  <c r="K77" i="1"/>
  <c r="H77" i="1"/>
  <c r="J77" i="1" s="1"/>
  <c r="J76" i="1"/>
  <c r="H76" i="1"/>
  <c r="J75" i="1"/>
  <c r="H75" i="1"/>
  <c r="J74" i="1"/>
  <c r="H74" i="1"/>
  <c r="H73" i="1"/>
  <c r="H72" i="1"/>
  <c r="J72" i="1" s="1"/>
  <c r="H71" i="1"/>
  <c r="J71" i="1" s="1"/>
  <c r="H70" i="1"/>
  <c r="J70" i="1" s="1"/>
  <c r="H69" i="1"/>
  <c r="J69" i="1" s="1"/>
  <c r="J68" i="1"/>
  <c r="H68" i="1"/>
  <c r="J67" i="1"/>
  <c r="H67" i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K60" i="1" s="1"/>
  <c r="J59" i="1"/>
  <c r="H59" i="1"/>
  <c r="J58" i="1"/>
  <c r="H58" i="1"/>
  <c r="J57" i="1"/>
  <c r="H57" i="1"/>
  <c r="H56" i="1"/>
  <c r="J56" i="1" s="1"/>
  <c r="H55" i="1"/>
  <c r="J54" i="1"/>
  <c r="H54" i="1"/>
  <c r="H53" i="1"/>
  <c r="K53" i="1" s="1"/>
  <c r="J52" i="1"/>
  <c r="H52" i="1"/>
  <c r="J51" i="1"/>
  <c r="H51" i="1"/>
  <c r="H50" i="1"/>
  <c r="H49" i="1"/>
  <c r="J49" i="1" s="1"/>
  <c r="H48" i="1"/>
  <c r="J48" i="1" s="1"/>
  <c r="H47" i="1"/>
  <c r="J47" i="1" s="1"/>
  <c r="H46" i="1"/>
  <c r="J46" i="1" s="1"/>
  <c r="H45" i="1"/>
  <c r="J45" i="1" s="1"/>
  <c r="J44" i="1"/>
  <c r="H44" i="1"/>
  <c r="H43" i="1"/>
  <c r="J43" i="1" s="1"/>
  <c r="H42" i="1"/>
  <c r="J42" i="1" s="1"/>
  <c r="H41" i="1"/>
  <c r="H40" i="1"/>
  <c r="J40" i="1" s="1"/>
  <c r="H39" i="1"/>
  <c r="J39" i="1" s="1"/>
  <c r="H38" i="1"/>
  <c r="J38" i="1" s="1"/>
  <c r="K37" i="1"/>
  <c r="J37" i="1"/>
  <c r="H37" i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K35" i="1" s="1"/>
  <c r="H29" i="1"/>
  <c r="K29" i="1" s="1"/>
  <c r="J28" i="1"/>
  <c r="H28" i="1"/>
  <c r="J27" i="1"/>
  <c r="H27" i="1"/>
  <c r="J26" i="1"/>
  <c r="H26" i="1"/>
  <c r="H25" i="1"/>
  <c r="K25" i="1" s="1"/>
  <c r="K24" i="1"/>
  <c r="J24" i="1"/>
  <c r="H24" i="1"/>
  <c r="K23" i="1"/>
  <c r="H23" i="1"/>
  <c r="J23" i="1" s="1"/>
  <c r="H22" i="1"/>
  <c r="J22" i="1" s="1"/>
  <c r="K21" i="1"/>
  <c r="J21" i="1"/>
  <c r="H21" i="1"/>
  <c r="J20" i="1"/>
  <c r="H20" i="1"/>
  <c r="J19" i="1"/>
  <c r="H19" i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K10" i="1"/>
  <c r="J10" i="1"/>
  <c r="H10" i="1"/>
  <c r="H9" i="1"/>
  <c r="J9" i="1" s="1"/>
  <c r="H8" i="1"/>
  <c r="J8" i="1" s="1"/>
  <c r="H7" i="1"/>
  <c r="J7" i="1" s="1"/>
  <c r="J6" i="1"/>
  <c r="H6" i="1"/>
  <c r="J5" i="1"/>
  <c r="H5" i="1"/>
  <c r="J4" i="1"/>
  <c r="H4" i="1"/>
  <c r="K5" i="1" s="1"/>
  <c r="J3" i="1"/>
  <c r="H3" i="1"/>
  <c r="H2" i="1"/>
  <c r="J2" i="1" s="1"/>
  <c r="K1" i="1"/>
  <c r="J1" i="1"/>
  <c r="H1" i="1"/>
  <c r="K97" i="1" l="1"/>
  <c r="K154" i="1"/>
  <c r="J53" i="1"/>
  <c r="J80" i="1"/>
  <c r="K13" i="1"/>
  <c r="J11" i="1"/>
  <c r="J96" i="1"/>
  <c r="K98" i="1"/>
  <c r="J60" i="1"/>
  <c r="J175" i="1"/>
  <c r="K175" i="1"/>
  <c r="K62" i="1"/>
  <c r="J55" i="1"/>
  <c r="K55" i="1"/>
  <c r="N185" i="1"/>
  <c r="K186" i="1"/>
  <c r="K14" i="1"/>
  <c r="J30" i="1"/>
  <c r="K73" i="1"/>
  <c r="J73" i="1"/>
  <c r="J156" i="1"/>
  <c r="K41" i="1"/>
  <c r="J41" i="1"/>
  <c r="J25" i="1"/>
  <c r="K116" i="1"/>
  <c r="J187" i="1"/>
  <c r="K18" i="1"/>
  <c r="J103" i="1"/>
  <c r="H640" i="1"/>
  <c r="J640" i="1" s="1"/>
  <c r="K146" i="1"/>
  <c r="K49" i="1"/>
  <c r="L186" i="1" s="1"/>
  <c r="J147" i="1"/>
  <c r="K50" i="1"/>
  <c r="J50" i="1"/>
  <c r="K131" i="1"/>
  <c r="K147" i="1"/>
  <c r="K63" i="1"/>
  <c r="J97" i="1"/>
  <c r="J122" i="1"/>
  <c r="K173" i="1"/>
  <c r="J155" i="1"/>
  <c r="J163" i="1"/>
  <c r="K9" i="1"/>
  <c r="K151" i="1"/>
  <c r="J29" i="1"/>
  <c r="L185" i="1" l="1"/>
  <c r="M186" i="1"/>
  <c r="M185" i="1" s="1"/>
  <c r="O186" i="1"/>
  <c r="N1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90" authorId="0" shapeId="0" xr:uid="{B46C196A-FB63-4935-94FB-139804F05F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devolucion 203
</t>
        </r>
      </text>
    </comment>
    <comment ref="H360" authorId="0" shapeId="0" xr:uid="{4FFD99DF-70B8-4B6C-9A2C-48DCA7A96A4A}">
      <text>
        <r>
          <rPr>
            <b/>
            <sz val="9"/>
            <color indexed="81"/>
            <rFont val="Tahoma"/>
            <family val="2"/>
          </rPr>
          <t xml:space="preserve">revisar
precio
</t>
        </r>
      </text>
    </comment>
    <comment ref="E700" authorId="0" shapeId="0" xr:uid="{FCBA3FD4-E948-4309-B57E-8218F6FC95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VENTA EVER 
RETEÑIDO
VARRILLA
MACHADO ETC
</t>
        </r>
      </text>
    </comment>
  </commentList>
</comments>
</file>

<file path=xl/sharedStrings.xml><?xml version="1.0" encoding="utf-8"?>
<sst xmlns="http://schemas.openxmlformats.org/spreadsheetml/2006/main" count="1702" uniqueCount="77">
  <si>
    <t>Mery Mollisaca</t>
  </si>
  <si>
    <t>CONO 2/32</t>
  </si>
  <si>
    <t>FABRICA COLIBRI</t>
  </si>
  <si>
    <t>FANTASIA</t>
  </si>
  <si>
    <t>OVILLO  4/9</t>
  </si>
  <si>
    <t>RECUPERADO</t>
  </si>
  <si>
    <t>OVILLO 2/9 SM</t>
  </si>
  <si>
    <t>Casa Colibri OVI.</t>
  </si>
  <si>
    <t>OVILLO 2/9</t>
  </si>
  <si>
    <t>OVILLO  2/13  N</t>
  </si>
  <si>
    <t>AMIGURUMI 4/9</t>
  </si>
  <si>
    <t>Polonesa</t>
  </si>
  <si>
    <t>stoll</t>
  </si>
  <si>
    <t>MIXTO N</t>
  </si>
  <si>
    <t>CONO 2/18</t>
  </si>
  <si>
    <t>Sergio David Quispe</t>
  </si>
  <si>
    <t>Arturo Lecoña</t>
  </si>
  <si>
    <t>Pastor Callisaya</t>
  </si>
  <si>
    <t>Casa Colibri IND.</t>
  </si>
  <si>
    <t>CONO  4/9</t>
  </si>
  <si>
    <t>CONO 2/12</t>
  </si>
  <si>
    <t>ANULADO</t>
  </si>
  <si>
    <t>Valeria Valencia</t>
  </si>
  <si>
    <t>Gonzalo Quispe</t>
  </si>
  <si>
    <t>OVILLO COLIBRI 3/11</t>
  </si>
  <si>
    <t>Teofilo Nina</t>
  </si>
  <si>
    <t>Rene Amaru</t>
  </si>
  <si>
    <t>Ruben Mamani</t>
  </si>
  <si>
    <t>Ricardo Lecoña</t>
  </si>
  <si>
    <t>Luciano Quispe</t>
  </si>
  <si>
    <t>Santos Flores</t>
  </si>
  <si>
    <t>CONO  3/15</t>
  </si>
  <si>
    <t>CONO 2/20</t>
  </si>
  <si>
    <t>CONO 2/13</t>
  </si>
  <si>
    <t>PLANTA</t>
  </si>
  <si>
    <t>Frecia Larico</t>
  </si>
  <si>
    <t>Rosa Coronel</t>
  </si>
  <si>
    <t>Simon Medina</t>
  </si>
  <si>
    <t>Simon Mollisaca</t>
  </si>
  <si>
    <t>Santiago Samo</t>
  </si>
  <si>
    <t>Edgar Delgadillo 1</t>
  </si>
  <si>
    <t>Rolando Nina</t>
  </si>
  <si>
    <t>Leonardo Limachi 1</t>
  </si>
  <si>
    <t>CONO SM</t>
  </si>
  <si>
    <t>OVILLO  2/8  NUEVA PRIMAVERA</t>
  </si>
  <si>
    <t>CONO FRA D' TONO</t>
  </si>
  <si>
    <t>RECUPERADO HB</t>
  </si>
  <si>
    <t>RECUPERADO N</t>
  </si>
  <si>
    <t>Nelson Medina</t>
  </si>
  <si>
    <t>OVILLO 2/18 ALP</t>
  </si>
  <si>
    <t>MIXTO HB</t>
  </si>
  <si>
    <t>Yessica Lazo</t>
  </si>
  <si>
    <t>FELIX CHURA</t>
  </si>
  <si>
    <t>CONO 2/30</t>
  </si>
  <si>
    <t>CONO 2/5</t>
  </si>
  <si>
    <t>Grisel Lazo</t>
  </si>
  <si>
    <t>OVILLO 2/4</t>
  </si>
  <si>
    <t>MAT.REG.</t>
  </si>
  <si>
    <t>CONO 2/14 stoll</t>
  </si>
  <si>
    <t>CONOS REC.</t>
  </si>
  <si>
    <t>ING. BERNARDO</t>
  </si>
  <si>
    <t>PROMOCION</t>
  </si>
  <si>
    <t>CONO 4/9</t>
  </si>
  <si>
    <t>OVILLO 3/11</t>
  </si>
  <si>
    <t>OVILLO 2/5</t>
  </si>
  <si>
    <t>CONO 2/13 N</t>
  </si>
  <si>
    <t>15/06//2026</t>
  </si>
  <si>
    <t>FECHA</t>
  </si>
  <si>
    <t>NUMERO DE NOTA</t>
  </si>
  <si>
    <t>CANTIDAD DE TITULOS DISTINTOS</t>
  </si>
  <si>
    <t>CLIENTE</t>
  </si>
  <si>
    <t>TITULO</t>
  </si>
  <si>
    <t>BOLSAS</t>
  </si>
  <si>
    <t>SUELTOS</t>
  </si>
  <si>
    <t>KILOS EN GENERAL</t>
  </si>
  <si>
    <t>PRECIO</t>
  </si>
  <si>
    <t>PRECIO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</si>
</sst>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#,##0.0"/>
    <numFmt numFmtId="169" formatCode="#,##0.0;[Red]#,##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1" xfId="0" applyBorder="1"/>
    <xf numFmtId="4" fontId="2" fillId="0" borderId="0" xfId="0" applyNumberFormat="1" applyFont="1"/>
    <xf numFmtId="0" fontId="0" fillId="0" borderId="2" xfId="0" applyBorder="1"/>
    <xf numFmtId="14" fontId="0" fillId="0" borderId="1" xfId="0" applyNumberFormat="1" applyBorder="1"/>
    <xf numFmtId="1" fontId="0" fillId="0" borderId="1" xfId="0" applyNumberFormat="1" applyBorder="1"/>
    <xf numFmtId="2" fontId="0" fillId="2" borderId="1" xfId="0" applyNumberFormat="1" applyFill="1" applyBorder="1"/>
    <xf numFmtId="168" fontId="0" fillId="0" borderId="1" xfId="0" applyNumberFormat="1" applyBorder="1"/>
    <xf numFmtId="169" fontId="0" fillId="3" borderId="1" xfId="0" applyNumberFormat="1" applyFill="1" applyBorder="1"/>
    <xf numFmtId="4" fontId="2" fillId="0" borderId="1" xfId="0" applyNumberFormat="1" applyFont="1" applyBorder="1"/>
    <xf numFmtId="14" fontId="0" fillId="5" borderId="0" xfId="0" applyNumberFormat="1" applyFill="1"/>
    <xf numFmtId="0" fontId="0" fillId="5" borderId="0" xfId="0" applyFill="1"/>
    <xf numFmtId="1" fontId="0" fillId="5" borderId="0" xfId="0" applyNumberFormat="1" applyFill="1"/>
    <xf numFmtId="2" fontId="0" fillId="5" borderId="0" xfId="0" applyNumberFormat="1" applyFill="1"/>
    <xf numFmtId="168" fontId="0" fillId="5" borderId="0" xfId="0" applyNumberFormat="1" applyFill="1"/>
    <xf numFmtId="169" fontId="0" fillId="3" borderId="0" xfId="0" applyNumberFormat="1" applyFill="1"/>
    <xf numFmtId="14" fontId="0" fillId="5" borderId="1" xfId="0" applyNumberFormat="1" applyFill="1" applyBorder="1"/>
    <xf numFmtId="0" fontId="0" fillId="5" borderId="1" xfId="0" applyFill="1" applyBorder="1"/>
    <xf numFmtId="1" fontId="0" fillId="5" borderId="1" xfId="0" applyNumberFormat="1" applyFill="1" applyBorder="1"/>
    <xf numFmtId="2" fontId="0" fillId="5" borderId="1" xfId="0" applyNumberFormat="1" applyFill="1" applyBorder="1"/>
    <xf numFmtId="168" fontId="0" fillId="5" borderId="1" xfId="0" applyNumberFormat="1" applyFill="1" applyBorder="1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2" fontId="0" fillId="2" borderId="0" xfId="0" applyNumberFormat="1" applyFill="1"/>
    <xf numFmtId="168" fontId="0" fillId="0" borderId="0" xfId="0" applyNumberFormat="1"/>
    <xf numFmtId="0" fontId="2" fillId="0" borderId="1" xfId="0" applyFont="1" applyBorder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2" fontId="3" fillId="2" borderId="0" xfId="0" applyNumberFormat="1" applyFont="1" applyFill="1"/>
    <xf numFmtId="168" fontId="3" fillId="0" borderId="0" xfId="0" applyNumberFormat="1" applyFont="1"/>
    <xf numFmtId="169" fontId="3" fillId="3" borderId="0" xfId="0" applyNumberFormat="1" applyFont="1" applyFill="1"/>
    <xf numFmtId="4" fontId="4" fillId="0" borderId="0" xfId="0" applyNumberFormat="1" applyFont="1"/>
    <xf numFmtId="14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168" fontId="0" fillId="3" borderId="0" xfId="0" applyNumberFormat="1" applyFill="1"/>
    <xf numFmtId="4" fontId="2" fillId="3" borderId="0" xfId="0" applyNumberFormat="1" applyFont="1" applyFill="1"/>
    <xf numFmtId="14" fontId="0" fillId="0" borderId="3" xfId="0" applyNumberFormat="1" applyBorder="1"/>
    <xf numFmtId="0" fontId="0" fillId="0" borderId="3" xfId="0" applyBorder="1"/>
    <xf numFmtId="1" fontId="0" fillId="0" borderId="3" xfId="0" applyNumberFormat="1" applyBorder="1"/>
    <xf numFmtId="2" fontId="0" fillId="2" borderId="3" xfId="0" applyNumberFormat="1" applyFill="1" applyBorder="1"/>
    <xf numFmtId="168" fontId="0" fillId="0" borderId="3" xfId="0" applyNumberFormat="1" applyBorder="1"/>
    <xf numFmtId="169" fontId="0" fillId="3" borderId="3" xfId="0" applyNumberFormat="1" applyFill="1" applyBorder="1"/>
    <xf numFmtId="4" fontId="2" fillId="0" borderId="3" xfId="0" applyNumberFormat="1" applyFont="1" applyBorder="1"/>
    <xf numFmtId="14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2" fontId="0" fillId="3" borderId="1" xfId="0" applyNumberFormat="1" applyFill="1" applyBorder="1"/>
    <xf numFmtId="168" fontId="0" fillId="3" borderId="1" xfId="0" applyNumberFormat="1" applyFill="1" applyBorder="1"/>
    <xf numFmtId="4" fontId="2" fillId="3" borderId="1" xfId="0" applyNumberFormat="1" applyFont="1" applyFill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" fontId="3" fillId="0" borderId="1" xfId="0" applyNumberFormat="1" applyFont="1" applyBorder="1"/>
    <xf numFmtId="2" fontId="3" fillId="2" borderId="1" xfId="0" applyNumberFormat="1" applyFont="1" applyFill="1" applyBorder="1"/>
    <xf numFmtId="168" fontId="3" fillId="0" borderId="1" xfId="0" applyNumberFormat="1" applyFont="1" applyBorder="1"/>
    <xf numFmtId="169" fontId="3" fillId="3" borderId="1" xfId="0" applyNumberFormat="1" applyFont="1" applyFill="1" applyBorder="1"/>
    <xf numFmtId="4" fontId="4" fillId="0" borderId="1" xfId="0" applyNumberFormat="1" applyFont="1" applyBorder="1"/>
    <xf numFmtId="14" fontId="0" fillId="6" borderId="1" xfId="0" applyNumberFormat="1" applyFill="1" applyBorder="1"/>
    <xf numFmtId="0" fontId="0" fillId="6" borderId="1" xfId="0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168" fontId="0" fillId="6" borderId="1" xfId="0" applyNumberFormat="1" applyFill="1" applyBorder="1"/>
    <xf numFmtId="169" fontId="0" fillId="6" borderId="1" xfId="0" applyNumberFormat="1" applyFill="1" applyBorder="1"/>
    <xf numFmtId="4" fontId="2" fillId="6" borderId="1" xfId="0" applyNumberFormat="1" applyFont="1" applyFill="1" applyBorder="1"/>
    <xf numFmtId="2" fontId="0" fillId="0" borderId="0" xfId="0" applyNumberFormat="1"/>
    <xf numFmtId="14" fontId="0" fillId="7" borderId="0" xfId="0" applyNumberFormat="1" applyFill="1"/>
    <xf numFmtId="0" fontId="0" fillId="7" borderId="0" xfId="0" applyFill="1"/>
    <xf numFmtId="1" fontId="0" fillId="7" borderId="0" xfId="0" applyNumberFormat="1" applyFill="1"/>
    <xf numFmtId="2" fontId="0" fillId="7" borderId="0" xfId="0" applyNumberFormat="1" applyFill="1"/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168" fontId="0" fillId="0" borderId="7" xfId="0" applyNumberFormat="1" applyBorder="1"/>
    <xf numFmtId="43" fontId="0" fillId="0" borderId="8" xfId="1" applyFont="1" applyBorder="1"/>
    <xf numFmtId="43" fontId="0" fillId="0" borderId="9" xfId="1" applyFont="1" applyBorder="1"/>
    <xf numFmtId="43" fontId="0" fillId="4" borderId="10" xfId="1" applyFont="1" applyFill="1" applyBorder="1"/>
    <xf numFmtId="43" fontId="0" fillId="0" borderId="0" xfId="0" applyNumberFormat="1"/>
    <xf numFmtId="14" fontId="0" fillId="0" borderId="2" xfId="0" applyNumberFormat="1" applyBorder="1"/>
    <xf numFmtId="0" fontId="2" fillId="0" borderId="2" xfId="0" applyFont="1" applyBorder="1"/>
    <xf numFmtId="0" fontId="3" fillId="0" borderId="2" xfId="0" applyFont="1" applyBorder="1"/>
    <xf numFmtId="1" fontId="0" fillId="0" borderId="2" xfId="0" applyNumberFormat="1" applyBorder="1"/>
    <xf numFmtId="2" fontId="0" fillId="2" borderId="2" xfId="0" applyNumberFormat="1" applyFill="1" applyBorder="1"/>
    <xf numFmtId="168" fontId="0" fillId="0" borderId="2" xfId="0" applyNumberFormat="1" applyBorder="1"/>
    <xf numFmtId="169" fontId="0" fillId="3" borderId="2" xfId="0" applyNumberFormat="1" applyFill="1" applyBorder="1"/>
    <xf numFmtId="4" fontId="2" fillId="0" borderId="2" xfId="0" applyNumberFormat="1" applyFont="1" applyBorder="1"/>
    <xf numFmtId="0" fontId="0" fillId="8" borderId="0" xfId="0" applyFill="1"/>
    <xf numFmtId="0" fontId="2" fillId="8" borderId="0" xfId="0" applyFont="1" applyFill="1"/>
    <xf numFmtId="1" fontId="0" fillId="8" borderId="0" xfId="0" applyNumberFormat="1" applyFill="1"/>
    <xf numFmtId="2" fontId="0" fillId="8" borderId="0" xfId="0" applyNumberFormat="1" applyFill="1"/>
    <xf numFmtId="168" fontId="0" fillId="8" borderId="0" xfId="0" applyNumberFormat="1" applyFill="1"/>
    <xf numFmtId="169" fontId="0" fillId="8" borderId="0" xfId="0" applyNumberFormat="1" applyFill="1"/>
    <xf numFmtId="4" fontId="2" fillId="8" borderId="0" xfId="0" applyNumberFormat="1" applyFont="1" applyFill="1"/>
    <xf numFmtId="14" fontId="0" fillId="8" borderId="0" xfId="0" applyNumberFormat="1" applyFill="1"/>
    <xf numFmtId="14" fontId="0" fillId="8" borderId="1" xfId="0" applyNumberFormat="1" applyFill="1" applyBorder="1"/>
    <xf numFmtId="0" fontId="0" fillId="8" borderId="1" xfId="0" applyFill="1" applyBorder="1"/>
    <xf numFmtId="0" fontId="2" fillId="8" borderId="1" xfId="0" applyFont="1" applyFill="1" applyBorder="1"/>
    <xf numFmtId="1" fontId="0" fillId="8" borderId="1" xfId="0" applyNumberFormat="1" applyFill="1" applyBorder="1"/>
    <xf numFmtId="2" fontId="0" fillId="8" borderId="1" xfId="0" applyNumberFormat="1" applyFill="1" applyBorder="1"/>
    <xf numFmtId="168" fontId="0" fillId="8" borderId="1" xfId="0" applyNumberFormat="1" applyFill="1" applyBorder="1"/>
    <xf numFmtId="169" fontId="0" fillId="8" borderId="1" xfId="0" applyNumberFormat="1" applyFill="1" applyBorder="1"/>
    <xf numFmtId="4" fontId="2" fillId="8" borderId="1" xfId="0" applyNumberFormat="1" applyFont="1" applyFill="1" applyBorder="1"/>
    <xf numFmtId="0" fontId="0" fillId="9" borderId="0" xfId="0" applyFill="1"/>
    <xf numFmtId="1" fontId="0" fillId="9" borderId="0" xfId="0" applyNumberFormat="1" applyFill="1"/>
    <xf numFmtId="2" fontId="0" fillId="9" borderId="0" xfId="0" applyNumberFormat="1" applyFill="1"/>
    <xf numFmtId="168" fontId="0" fillId="9" borderId="0" xfId="0" applyNumberFormat="1" applyFill="1"/>
    <xf numFmtId="4" fontId="2" fillId="9" borderId="0" xfId="0" applyNumberFormat="1" applyFont="1" applyFill="1"/>
    <xf numFmtId="14" fontId="0" fillId="3" borderId="2" xfId="0" applyNumberFormat="1" applyFill="1" applyBorder="1"/>
    <xf numFmtId="0" fontId="0" fillId="3" borderId="2" xfId="0" applyFill="1" applyBorder="1"/>
    <xf numFmtId="0" fontId="2" fillId="3" borderId="2" xfId="0" applyFont="1" applyFill="1" applyBorder="1"/>
    <xf numFmtId="1" fontId="0" fillId="3" borderId="2" xfId="0" applyNumberFormat="1" applyFill="1" applyBorder="1"/>
    <xf numFmtId="2" fontId="0" fillId="3" borderId="2" xfId="0" applyNumberFormat="1" applyFill="1" applyBorder="1"/>
    <xf numFmtId="168" fontId="0" fillId="3" borderId="2" xfId="0" applyNumberFormat="1" applyFill="1" applyBorder="1"/>
    <xf numFmtId="4" fontId="2" fillId="3" borderId="2" xfId="0" applyNumberFormat="1" applyFont="1" applyFill="1" applyBorder="1"/>
    <xf numFmtId="2" fontId="0" fillId="0" borderId="1" xfId="0" applyNumberFormat="1" applyBorder="1"/>
    <xf numFmtId="0" fontId="2" fillId="0" borderId="3" xfId="0" applyFont="1" applyBorder="1"/>
    <xf numFmtId="0" fontId="3" fillId="0" borderId="3" xfId="0" applyFont="1" applyBorder="1"/>
    <xf numFmtId="2" fontId="0" fillId="0" borderId="3" xfId="0" applyNumberFormat="1" applyBorder="1"/>
    <xf numFmtId="0" fontId="0" fillId="10" borderId="0" xfId="0" applyFill="1"/>
    <xf numFmtId="1" fontId="0" fillId="10" borderId="0" xfId="0" applyNumberFormat="1" applyFill="1"/>
    <xf numFmtId="2" fontId="0" fillId="10" borderId="0" xfId="0" applyNumberFormat="1" applyFill="1"/>
    <xf numFmtId="169" fontId="0" fillId="0" borderId="1" xfId="0" applyNumberFormat="1" applyBorder="1"/>
    <xf numFmtId="169" fontId="0" fillId="0" borderId="0" xfId="0" applyNumberFormat="1"/>
    <xf numFmtId="17" fontId="0" fillId="0" borderId="0" xfId="0" applyNumberFormat="1"/>
    <xf numFmtId="0" fontId="5" fillId="0" borderId="0" xfId="0" applyFont="1"/>
  </cellXfs>
  <cellStyles count="2">
    <cellStyle name="Millares" xfId="1" builtinId="3"/>
    <cellStyle name="Normal" xfId="0" builtinId="0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er\Desktop\REPORTE.Junio.2026.xlsx" TargetMode="External"/><Relationship Id="rId1" Type="http://schemas.openxmlformats.org/officeDocument/2006/relationships/externalLinkPath" Target="REPORTE.Junio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TAIND"/>
      <sheetName val="VTAOVI"/>
      <sheetName val="VTAS"/>
      <sheetName val="ProPagos"/>
      <sheetName val="2023vs2024"/>
      <sheetName val="EXPCHILE"/>
      <sheetName val="SDF"/>
      <sheetName val="INGRESOS"/>
      <sheetName val="EGRESOS"/>
      <sheetName val="CXC"/>
      <sheetName val="MES"/>
      <sheetName val="AÑO"/>
      <sheetName val="REPORTE"/>
      <sheetName val="CXP"/>
      <sheetName val="cc"/>
      <sheetName val="Hoja1"/>
      <sheetName val="Hoja2"/>
    </sheetNames>
    <sheetDataSet>
      <sheetData sheetId="0">
        <row r="15">
          <cell r="C15" t="str">
            <v>Casa Colibri IND.</v>
          </cell>
        </row>
        <row r="47">
          <cell r="D47">
            <v>424069.7</v>
          </cell>
        </row>
        <row r="79">
          <cell r="D79">
            <v>81007.7</v>
          </cell>
          <cell r="E79">
            <v>6625931.5</v>
          </cell>
        </row>
      </sheetData>
      <sheetData sheetId="1">
        <row r="206">
          <cell r="E206">
            <v>0</v>
          </cell>
        </row>
      </sheetData>
      <sheetData sheetId="2"/>
      <sheetData sheetId="3"/>
      <sheetData sheetId="4"/>
      <sheetData sheetId="5"/>
      <sheetData sheetId="6">
        <row r="75">
          <cell r="N75">
            <v>278057.90000000002</v>
          </cell>
        </row>
      </sheetData>
      <sheetData sheetId="7"/>
      <sheetData sheetId="8">
        <row r="28">
          <cell r="B28">
            <v>5851351.4000000004</v>
          </cell>
        </row>
      </sheetData>
      <sheetData sheetId="9"/>
      <sheetData sheetId="10"/>
      <sheetData sheetId="11"/>
      <sheetData sheetId="12">
        <row r="3">
          <cell r="H3" t="e">
            <v>#DIV/0!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ECFA-6465-443C-921B-EF6C3D1B38B8}">
  <dimension ref="A1:O852"/>
  <sheetViews>
    <sheetView tabSelected="1" topLeftCell="A814" zoomScale="70" zoomScaleNormal="70" workbookViewId="0">
      <selection activeCell="M846" sqref="M846"/>
    </sheetView>
  </sheetViews>
  <sheetFormatPr baseColWidth="10" defaultRowHeight="14.4" x14ac:dyDescent="0.3"/>
  <cols>
    <col min="1" max="1" width="11.6640625" customWidth="1"/>
  </cols>
  <sheetData>
    <row r="1" spans="1:15" x14ac:dyDescent="0.3">
      <c r="A1" s="4">
        <v>46027</v>
      </c>
      <c r="B1" s="1">
        <v>7450</v>
      </c>
      <c r="C1" s="1">
        <v>1</v>
      </c>
      <c r="D1" s="1" t="s">
        <v>0</v>
      </c>
      <c r="E1" s="1" t="s">
        <v>1</v>
      </c>
      <c r="F1" s="1">
        <v>165</v>
      </c>
      <c r="G1" s="5">
        <v>10</v>
      </c>
      <c r="H1" s="6">
        <f t="shared" ref="H1:H64" si="0">+F1*6+G1*0.5</f>
        <v>995</v>
      </c>
      <c r="I1" s="7"/>
      <c r="J1" s="8">
        <f t="shared" ref="J1:J256" si="1">+H1*I1</f>
        <v>0</v>
      </c>
      <c r="K1" s="9">
        <f>+H1</f>
        <v>995</v>
      </c>
      <c r="L1" s="1"/>
      <c r="M1" s="1"/>
      <c r="N1" s="1"/>
      <c r="O1" s="1"/>
    </row>
    <row r="2" spans="1:15" x14ac:dyDescent="0.3">
      <c r="A2" s="10">
        <v>46028</v>
      </c>
      <c r="B2" s="11">
        <v>7451</v>
      </c>
      <c r="C2" s="11">
        <v>1</v>
      </c>
      <c r="D2" s="11" t="s">
        <v>2</v>
      </c>
      <c r="E2" s="11" t="s">
        <v>3</v>
      </c>
      <c r="F2" s="11">
        <v>38</v>
      </c>
      <c r="G2" s="12">
        <v>0</v>
      </c>
      <c r="H2" s="13">
        <f>+F2*5+G2*0.5</f>
        <v>190</v>
      </c>
      <c r="I2" s="14"/>
      <c r="J2" s="15">
        <f t="shared" si="1"/>
        <v>0</v>
      </c>
      <c r="K2" s="2"/>
    </row>
    <row r="3" spans="1:15" x14ac:dyDescent="0.3">
      <c r="A3" s="10">
        <v>46028</v>
      </c>
      <c r="B3" s="11">
        <v>7451</v>
      </c>
      <c r="C3" s="11">
        <v>2</v>
      </c>
      <c r="D3" s="11" t="s">
        <v>2</v>
      </c>
      <c r="E3" s="11" t="s">
        <v>4</v>
      </c>
      <c r="F3" s="11">
        <v>34</v>
      </c>
      <c r="G3" s="12">
        <v>0</v>
      </c>
      <c r="H3" s="13">
        <f>+F3*5+G3*0.5</f>
        <v>170</v>
      </c>
      <c r="I3" s="14"/>
      <c r="J3" s="15">
        <f t="shared" si="1"/>
        <v>0</v>
      </c>
      <c r="K3" s="2"/>
    </row>
    <row r="4" spans="1:15" x14ac:dyDescent="0.3">
      <c r="A4" s="10">
        <v>46028</v>
      </c>
      <c r="B4" s="11">
        <v>7451</v>
      </c>
      <c r="C4" s="11">
        <v>3</v>
      </c>
      <c r="D4" s="11" t="s">
        <v>2</v>
      </c>
      <c r="E4" s="11" t="s">
        <v>5</v>
      </c>
      <c r="F4" s="11">
        <v>34</v>
      </c>
      <c r="G4" s="12">
        <v>0</v>
      </c>
      <c r="H4" s="13">
        <f>+F4*5+G4*0.5</f>
        <v>170</v>
      </c>
      <c r="I4" s="14"/>
      <c r="J4" s="15">
        <f t="shared" si="1"/>
        <v>0</v>
      </c>
      <c r="K4" s="2"/>
    </row>
    <row r="5" spans="1:15" x14ac:dyDescent="0.3">
      <c r="A5" s="16">
        <v>46028</v>
      </c>
      <c r="B5" s="17">
        <v>7451</v>
      </c>
      <c r="C5" s="17">
        <v>4</v>
      </c>
      <c r="D5" s="17" t="s">
        <v>2</v>
      </c>
      <c r="E5" s="17" t="s">
        <v>6</v>
      </c>
      <c r="F5" s="17">
        <v>28</v>
      </c>
      <c r="G5" s="18">
        <v>0</v>
      </c>
      <c r="H5" s="19">
        <f>+F5*7+G5*0.5</f>
        <v>196</v>
      </c>
      <c r="I5" s="20"/>
      <c r="J5" s="8">
        <f t="shared" si="1"/>
        <v>0</v>
      </c>
      <c r="K5" s="9">
        <f>SUM(H2:H5)</f>
        <v>726</v>
      </c>
      <c r="L5" s="1"/>
      <c r="M5" s="1"/>
      <c r="N5" s="1"/>
      <c r="O5" s="1"/>
    </row>
    <row r="6" spans="1:15" x14ac:dyDescent="0.3">
      <c r="A6" s="21">
        <v>46029</v>
      </c>
      <c r="B6">
        <v>7452</v>
      </c>
      <c r="C6">
        <v>1</v>
      </c>
      <c r="D6" s="22" t="s">
        <v>7</v>
      </c>
      <c r="E6" t="s">
        <v>8</v>
      </c>
      <c r="F6">
        <v>39</v>
      </c>
      <c r="G6" s="23">
        <v>0</v>
      </c>
      <c r="H6" s="24">
        <f>+F6*5+G6*0.5</f>
        <v>195</v>
      </c>
      <c r="I6" s="25"/>
      <c r="J6" s="15">
        <f t="shared" si="1"/>
        <v>0</v>
      </c>
      <c r="K6" s="2"/>
    </row>
    <row r="7" spans="1:15" x14ac:dyDescent="0.3">
      <c r="A7" s="21">
        <v>46029</v>
      </c>
      <c r="B7">
        <v>7452</v>
      </c>
      <c r="C7">
        <v>2</v>
      </c>
      <c r="D7" s="22" t="s">
        <v>7</v>
      </c>
      <c r="E7" t="s">
        <v>4</v>
      </c>
      <c r="F7">
        <v>36</v>
      </c>
      <c r="G7" s="23">
        <v>0</v>
      </c>
      <c r="H7" s="24">
        <f>+F7*5+G7*0.5</f>
        <v>180</v>
      </c>
      <c r="I7" s="25"/>
      <c r="J7" s="15">
        <f t="shared" si="1"/>
        <v>0</v>
      </c>
      <c r="K7" s="2"/>
    </row>
    <row r="8" spans="1:15" x14ac:dyDescent="0.3">
      <c r="A8" s="21">
        <v>46029</v>
      </c>
      <c r="B8">
        <v>7452</v>
      </c>
      <c r="C8">
        <v>3</v>
      </c>
      <c r="D8" s="22" t="s">
        <v>7</v>
      </c>
      <c r="E8" t="s">
        <v>9</v>
      </c>
      <c r="F8">
        <v>27</v>
      </c>
      <c r="G8" s="23">
        <v>0</v>
      </c>
      <c r="H8" s="24">
        <f t="shared" ref="H8:H9" si="2">+F8*7+G8*0.5</f>
        <v>189</v>
      </c>
      <c r="I8" s="25"/>
      <c r="J8" s="15">
        <f t="shared" si="1"/>
        <v>0</v>
      </c>
      <c r="K8" s="2"/>
    </row>
    <row r="9" spans="1:15" x14ac:dyDescent="0.3">
      <c r="A9" s="4">
        <v>46029</v>
      </c>
      <c r="B9" s="1">
        <v>7452</v>
      </c>
      <c r="C9" s="1">
        <v>4</v>
      </c>
      <c r="D9" s="26" t="s">
        <v>7</v>
      </c>
      <c r="E9" s="1" t="s">
        <v>10</v>
      </c>
      <c r="F9" s="1">
        <v>55</v>
      </c>
      <c r="G9" s="5">
        <v>0</v>
      </c>
      <c r="H9" s="6">
        <f t="shared" si="2"/>
        <v>385</v>
      </c>
      <c r="I9" s="7"/>
      <c r="J9" s="8">
        <f t="shared" si="1"/>
        <v>0</v>
      </c>
      <c r="K9" s="9">
        <f>SUM(H6:H9)</f>
        <v>949</v>
      </c>
      <c r="L9" s="1"/>
      <c r="M9" s="1"/>
      <c r="N9" s="1"/>
      <c r="O9" s="1"/>
    </row>
    <row r="10" spans="1:15" x14ac:dyDescent="0.3">
      <c r="A10" s="21">
        <v>46030</v>
      </c>
      <c r="B10">
        <v>7453</v>
      </c>
      <c r="C10">
        <v>1</v>
      </c>
      <c r="D10" t="s">
        <v>11</v>
      </c>
      <c r="E10" t="s">
        <v>12</v>
      </c>
      <c r="F10">
        <v>33</v>
      </c>
      <c r="G10" s="23">
        <v>3</v>
      </c>
      <c r="H10" s="24">
        <f>+F10*6+G10*1</f>
        <v>201</v>
      </c>
      <c r="I10" s="25"/>
      <c r="J10" s="15">
        <f t="shared" si="1"/>
        <v>0</v>
      </c>
      <c r="K10" s="2">
        <f>+H10</f>
        <v>201</v>
      </c>
    </row>
    <row r="11" spans="1:15" x14ac:dyDescent="0.3">
      <c r="A11" s="10">
        <v>46030</v>
      </c>
      <c r="B11" s="11">
        <v>7454</v>
      </c>
      <c r="C11" s="11">
        <v>1</v>
      </c>
      <c r="D11" s="11" t="s">
        <v>2</v>
      </c>
      <c r="E11" s="11" t="s">
        <v>13</v>
      </c>
      <c r="F11" s="11">
        <v>26</v>
      </c>
      <c r="G11" s="12">
        <v>0</v>
      </c>
      <c r="H11" s="13">
        <f>+F11*7+G11*0.5</f>
        <v>182</v>
      </c>
      <c r="I11" s="14"/>
      <c r="J11" s="15">
        <f t="shared" si="1"/>
        <v>0</v>
      </c>
      <c r="K11" s="2"/>
    </row>
    <row r="12" spans="1:15" x14ac:dyDescent="0.3">
      <c r="A12" s="10">
        <v>46030</v>
      </c>
      <c r="B12" s="11">
        <v>7454</v>
      </c>
      <c r="C12" s="11">
        <v>2</v>
      </c>
      <c r="D12" s="11" t="s">
        <v>2</v>
      </c>
      <c r="E12" s="11" t="s">
        <v>5</v>
      </c>
      <c r="F12" s="11">
        <v>13</v>
      </c>
      <c r="G12" s="12">
        <v>0</v>
      </c>
      <c r="H12" s="13">
        <f>+F12*7+G12*0.5</f>
        <v>91</v>
      </c>
      <c r="I12" s="14"/>
      <c r="J12" s="15">
        <f t="shared" si="1"/>
        <v>0</v>
      </c>
      <c r="K12" s="2"/>
    </row>
    <row r="13" spans="1:15" x14ac:dyDescent="0.3">
      <c r="A13" s="16">
        <v>46030</v>
      </c>
      <c r="B13" s="17">
        <v>7454</v>
      </c>
      <c r="C13" s="17">
        <v>3</v>
      </c>
      <c r="D13" s="17" t="s">
        <v>2</v>
      </c>
      <c r="E13" s="17" t="s">
        <v>5</v>
      </c>
      <c r="F13" s="17">
        <v>13</v>
      </c>
      <c r="G13" s="18">
        <v>0</v>
      </c>
      <c r="H13" s="19">
        <f>+F13*5+G13*0.5</f>
        <v>65</v>
      </c>
      <c r="I13" s="20"/>
      <c r="J13" s="8">
        <f t="shared" si="1"/>
        <v>0</v>
      </c>
      <c r="K13" s="9">
        <f>SUM(H11:H13)</f>
        <v>338</v>
      </c>
      <c r="L13" s="1"/>
      <c r="M13" s="1"/>
      <c r="N13" s="1"/>
      <c r="O13" s="1"/>
    </row>
    <row r="14" spans="1:15" x14ac:dyDescent="0.3">
      <c r="A14" s="21">
        <v>46031</v>
      </c>
      <c r="B14">
        <v>7455</v>
      </c>
      <c r="C14">
        <v>1</v>
      </c>
      <c r="D14" s="22" t="s">
        <v>7</v>
      </c>
      <c r="E14" t="s">
        <v>4</v>
      </c>
      <c r="F14">
        <v>108</v>
      </c>
      <c r="G14" s="23">
        <v>0</v>
      </c>
      <c r="H14" s="24">
        <f>+F14*5+G14*0.5</f>
        <v>540</v>
      </c>
      <c r="I14" s="25"/>
      <c r="J14" s="15">
        <f t="shared" si="1"/>
        <v>0</v>
      </c>
      <c r="K14" s="2">
        <f>+H14+H20</f>
        <v>1729</v>
      </c>
    </row>
    <row r="15" spans="1:15" x14ac:dyDescent="0.3">
      <c r="A15" s="21">
        <v>46031</v>
      </c>
      <c r="B15">
        <v>7456</v>
      </c>
      <c r="C15">
        <v>1</v>
      </c>
      <c r="D15" t="s">
        <v>0</v>
      </c>
      <c r="E15" t="s">
        <v>14</v>
      </c>
      <c r="F15">
        <v>33</v>
      </c>
      <c r="G15" s="23">
        <v>10</v>
      </c>
      <c r="H15" s="24">
        <f t="shared" si="0"/>
        <v>203</v>
      </c>
      <c r="I15" s="25"/>
      <c r="J15" s="15">
        <f t="shared" si="1"/>
        <v>0</v>
      </c>
      <c r="K15" s="2"/>
    </row>
    <row r="16" spans="1:15" x14ac:dyDescent="0.3">
      <c r="A16" s="21">
        <v>46031</v>
      </c>
      <c r="B16">
        <v>7457</v>
      </c>
      <c r="C16">
        <v>2</v>
      </c>
      <c r="D16" t="s">
        <v>15</v>
      </c>
      <c r="E16" t="s">
        <v>14</v>
      </c>
      <c r="F16">
        <v>32</v>
      </c>
      <c r="G16" s="23">
        <v>2</v>
      </c>
      <c r="H16" s="24">
        <f t="shared" si="0"/>
        <v>193</v>
      </c>
      <c r="I16" s="25"/>
      <c r="J16" s="15">
        <f t="shared" si="1"/>
        <v>0</v>
      </c>
      <c r="K16" s="2"/>
    </row>
    <row r="17" spans="1:15" x14ac:dyDescent="0.3">
      <c r="A17" s="21">
        <v>46031</v>
      </c>
      <c r="B17">
        <v>7458</v>
      </c>
      <c r="C17">
        <v>3</v>
      </c>
      <c r="D17" t="s">
        <v>16</v>
      </c>
      <c r="E17" t="s">
        <v>14</v>
      </c>
      <c r="F17">
        <v>199</v>
      </c>
      <c r="G17" s="23">
        <v>31</v>
      </c>
      <c r="H17" s="24">
        <f t="shared" si="0"/>
        <v>1209.5</v>
      </c>
      <c r="I17" s="25"/>
      <c r="J17" s="15">
        <f t="shared" si="1"/>
        <v>0</v>
      </c>
      <c r="K17" s="2"/>
    </row>
    <row r="18" spans="1:15" x14ac:dyDescent="0.3">
      <c r="A18" s="21">
        <v>46031</v>
      </c>
      <c r="B18">
        <v>7459</v>
      </c>
      <c r="C18">
        <v>4</v>
      </c>
      <c r="D18" t="s">
        <v>17</v>
      </c>
      <c r="E18" t="s">
        <v>1</v>
      </c>
      <c r="F18">
        <v>33</v>
      </c>
      <c r="G18" s="23">
        <v>4</v>
      </c>
      <c r="H18" s="24">
        <f t="shared" si="0"/>
        <v>200</v>
      </c>
      <c r="I18" s="25"/>
      <c r="J18" s="15">
        <f t="shared" si="1"/>
        <v>0</v>
      </c>
      <c r="K18" s="2">
        <f>SUM(H15:H18)</f>
        <v>1805.5</v>
      </c>
    </row>
    <row r="19" spans="1:15" x14ac:dyDescent="0.3">
      <c r="A19" s="21">
        <v>46031</v>
      </c>
      <c r="B19">
        <v>7460</v>
      </c>
      <c r="C19">
        <v>1</v>
      </c>
      <c r="D19" s="22" t="s">
        <v>18</v>
      </c>
      <c r="E19" t="s">
        <v>19</v>
      </c>
      <c r="F19">
        <v>15</v>
      </c>
      <c r="G19" s="23">
        <v>0</v>
      </c>
      <c r="H19" s="24">
        <f t="shared" si="0"/>
        <v>90</v>
      </c>
      <c r="I19" s="25"/>
      <c r="J19" s="15">
        <f t="shared" si="1"/>
        <v>0</v>
      </c>
      <c r="K19" s="2"/>
    </row>
    <row r="20" spans="1:15" x14ac:dyDescent="0.3">
      <c r="A20" s="27">
        <v>46031</v>
      </c>
      <c r="B20" s="28">
        <v>7461</v>
      </c>
      <c r="C20" s="28">
        <v>1</v>
      </c>
      <c r="D20" s="29" t="s">
        <v>7</v>
      </c>
      <c r="E20" s="28" t="s">
        <v>20</v>
      </c>
      <c r="F20" s="28">
        <v>131</v>
      </c>
      <c r="G20" s="30">
        <v>10</v>
      </c>
      <c r="H20" s="31">
        <f>+F20*9+G20*1</f>
        <v>1189</v>
      </c>
      <c r="I20" s="32"/>
      <c r="J20" s="33">
        <f t="shared" si="1"/>
        <v>0</v>
      </c>
      <c r="K20" s="34"/>
      <c r="L20" s="28"/>
      <c r="M20" s="28"/>
      <c r="N20" s="28"/>
      <c r="O20" s="28"/>
    </row>
    <row r="21" spans="1:15" x14ac:dyDescent="0.3">
      <c r="A21" s="4">
        <v>46031</v>
      </c>
      <c r="B21" s="1">
        <v>7462</v>
      </c>
      <c r="C21" s="1">
        <v>1</v>
      </c>
      <c r="D21" s="26" t="s">
        <v>18</v>
      </c>
      <c r="E21" s="1" t="s">
        <v>20</v>
      </c>
      <c r="F21" s="1">
        <v>21</v>
      </c>
      <c r="G21" s="5">
        <v>2</v>
      </c>
      <c r="H21" s="6">
        <f>+F21*9+G21*1</f>
        <v>191</v>
      </c>
      <c r="I21" s="7"/>
      <c r="J21" s="8">
        <f t="shared" si="1"/>
        <v>0</v>
      </c>
      <c r="K21" s="9">
        <f>+H21+H19</f>
        <v>281</v>
      </c>
      <c r="L21" s="1"/>
      <c r="M21" s="1"/>
      <c r="N21" s="1"/>
      <c r="O21" s="1"/>
    </row>
    <row r="22" spans="1:15" x14ac:dyDescent="0.3">
      <c r="A22" s="35">
        <v>46034</v>
      </c>
      <c r="B22" s="36">
        <v>7463</v>
      </c>
      <c r="C22" s="36">
        <v>1</v>
      </c>
      <c r="D22" s="36" t="s">
        <v>21</v>
      </c>
      <c r="E22" s="36">
        <v>0</v>
      </c>
      <c r="F22" s="36">
        <v>0</v>
      </c>
      <c r="G22" s="37">
        <v>0</v>
      </c>
      <c r="H22" s="38">
        <f t="shared" ref="H22:H35" si="3">+F22*6+G22*0.5</f>
        <v>0</v>
      </c>
      <c r="I22" s="39"/>
      <c r="J22" s="15">
        <f t="shared" si="1"/>
        <v>0</v>
      </c>
      <c r="K22" s="40"/>
      <c r="L22" s="36"/>
      <c r="M22" s="36"/>
      <c r="N22" s="36"/>
      <c r="O22" s="36"/>
    </row>
    <row r="23" spans="1:15" x14ac:dyDescent="0.3">
      <c r="A23" s="4">
        <v>46034</v>
      </c>
      <c r="B23" s="1">
        <v>7464</v>
      </c>
      <c r="C23" s="1">
        <v>1</v>
      </c>
      <c r="D23" s="1" t="s">
        <v>22</v>
      </c>
      <c r="E23" s="1" t="s">
        <v>1</v>
      </c>
      <c r="F23" s="1">
        <v>33</v>
      </c>
      <c r="G23" s="5">
        <v>9</v>
      </c>
      <c r="H23" s="6">
        <f t="shared" si="3"/>
        <v>202.5</v>
      </c>
      <c r="I23" s="7"/>
      <c r="J23" s="8">
        <f t="shared" si="1"/>
        <v>0</v>
      </c>
      <c r="K23" s="9">
        <f>+H23</f>
        <v>202.5</v>
      </c>
      <c r="L23" s="1"/>
      <c r="M23" s="1"/>
      <c r="N23" s="1"/>
      <c r="O23" s="1"/>
    </row>
    <row r="24" spans="1:15" x14ac:dyDescent="0.3">
      <c r="A24" s="41">
        <v>46032</v>
      </c>
      <c r="B24" s="42">
        <v>7465</v>
      </c>
      <c r="C24" s="42">
        <v>1</v>
      </c>
      <c r="D24" s="42" t="s">
        <v>16</v>
      </c>
      <c r="E24" s="42" t="s">
        <v>14</v>
      </c>
      <c r="F24" s="42">
        <v>199</v>
      </c>
      <c r="G24" s="43">
        <v>43</v>
      </c>
      <c r="H24" s="44">
        <f t="shared" si="3"/>
        <v>1215.5</v>
      </c>
      <c r="I24" s="45"/>
      <c r="J24" s="46">
        <f t="shared" si="1"/>
        <v>0</v>
      </c>
      <c r="K24" s="47">
        <f>+H24</f>
        <v>1215.5</v>
      </c>
      <c r="L24" s="42"/>
      <c r="M24" s="42"/>
      <c r="N24" s="42"/>
      <c r="O24" s="42"/>
    </row>
    <row r="25" spans="1:15" x14ac:dyDescent="0.3">
      <c r="A25" s="21">
        <v>46034</v>
      </c>
      <c r="B25">
        <v>7466</v>
      </c>
      <c r="C25">
        <v>1</v>
      </c>
      <c r="D25" t="s">
        <v>23</v>
      </c>
      <c r="E25" t="s">
        <v>14</v>
      </c>
      <c r="F25">
        <v>33</v>
      </c>
      <c r="G25" s="23">
        <v>5</v>
      </c>
      <c r="H25" s="24">
        <f t="shared" si="3"/>
        <v>200.5</v>
      </c>
      <c r="I25" s="25"/>
      <c r="J25" s="15">
        <f t="shared" si="1"/>
        <v>0</v>
      </c>
      <c r="K25" s="2">
        <f>+H25</f>
        <v>200.5</v>
      </c>
    </row>
    <row r="26" spans="1:15" x14ac:dyDescent="0.3">
      <c r="A26" s="48">
        <v>46034</v>
      </c>
      <c r="B26" s="49">
        <v>7467</v>
      </c>
      <c r="C26" s="49">
        <v>1</v>
      </c>
      <c r="D26" s="49" t="s">
        <v>21</v>
      </c>
      <c r="E26" s="49">
        <v>0</v>
      </c>
      <c r="F26" s="49">
        <v>0</v>
      </c>
      <c r="G26" s="50">
        <v>0</v>
      </c>
      <c r="H26" s="51">
        <f t="shared" si="3"/>
        <v>0</v>
      </c>
      <c r="I26" s="52"/>
      <c r="J26" s="8">
        <f t="shared" si="1"/>
        <v>0</v>
      </c>
      <c r="K26" s="53"/>
      <c r="L26" s="49"/>
      <c r="M26" s="49"/>
      <c r="N26" s="49"/>
      <c r="O26" s="49"/>
    </row>
    <row r="27" spans="1:15" x14ac:dyDescent="0.3">
      <c r="A27" s="21">
        <v>46032</v>
      </c>
      <c r="B27">
        <v>7468</v>
      </c>
      <c r="C27">
        <v>1</v>
      </c>
      <c r="D27" s="22" t="s">
        <v>7</v>
      </c>
      <c r="E27" t="s">
        <v>8</v>
      </c>
      <c r="F27">
        <v>40</v>
      </c>
      <c r="G27" s="23">
        <v>0</v>
      </c>
      <c r="H27" s="24">
        <f>+F27*5+G27*0.5</f>
        <v>200</v>
      </c>
      <c r="I27" s="25"/>
      <c r="J27" s="15">
        <f t="shared" si="1"/>
        <v>0</v>
      </c>
      <c r="K27" s="2"/>
    </row>
    <row r="28" spans="1:15" x14ac:dyDescent="0.3">
      <c r="A28" s="21">
        <v>46032</v>
      </c>
      <c r="B28">
        <v>7468</v>
      </c>
      <c r="C28">
        <v>2</v>
      </c>
      <c r="D28" s="22" t="s">
        <v>7</v>
      </c>
      <c r="E28" t="s">
        <v>24</v>
      </c>
      <c r="F28">
        <v>78</v>
      </c>
      <c r="G28" s="23">
        <v>0</v>
      </c>
      <c r="H28" s="24">
        <f t="shared" ref="H28:H29" si="4">+F28*5+G28*0.5</f>
        <v>390</v>
      </c>
      <c r="I28" s="25"/>
      <c r="J28" s="15">
        <f t="shared" si="1"/>
        <v>0</v>
      </c>
      <c r="K28" s="2"/>
    </row>
    <row r="29" spans="1:15" x14ac:dyDescent="0.3">
      <c r="A29" s="4">
        <v>46032</v>
      </c>
      <c r="B29" s="1">
        <v>7468</v>
      </c>
      <c r="C29" s="1">
        <v>3</v>
      </c>
      <c r="D29" s="26" t="s">
        <v>7</v>
      </c>
      <c r="E29" s="1" t="s">
        <v>4</v>
      </c>
      <c r="F29" s="1">
        <v>72</v>
      </c>
      <c r="G29" s="5">
        <v>0</v>
      </c>
      <c r="H29" s="6">
        <f t="shared" si="4"/>
        <v>360</v>
      </c>
      <c r="I29" s="7"/>
      <c r="J29" s="8">
        <f t="shared" si="1"/>
        <v>0</v>
      </c>
      <c r="K29" s="9">
        <f>+H29+H28+H27</f>
        <v>950</v>
      </c>
      <c r="L29" s="1"/>
      <c r="M29" s="1"/>
      <c r="N29" s="1"/>
      <c r="O29" s="1"/>
    </row>
    <row r="30" spans="1:15" x14ac:dyDescent="0.3">
      <c r="A30" s="21">
        <v>46034</v>
      </c>
      <c r="B30">
        <v>7469</v>
      </c>
      <c r="C30">
        <v>1</v>
      </c>
      <c r="D30" t="s">
        <v>0</v>
      </c>
      <c r="E30" t="s">
        <v>14</v>
      </c>
      <c r="F30">
        <v>198</v>
      </c>
      <c r="G30" s="23">
        <v>39</v>
      </c>
      <c r="H30" s="24">
        <f t="shared" si="3"/>
        <v>1207.5</v>
      </c>
      <c r="I30" s="25"/>
      <c r="J30" s="15">
        <f t="shared" si="1"/>
        <v>0</v>
      </c>
      <c r="K30" s="2"/>
    </row>
    <row r="31" spans="1:15" x14ac:dyDescent="0.3">
      <c r="A31" s="21">
        <v>46034</v>
      </c>
      <c r="B31">
        <v>7470</v>
      </c>
      <c r="C31">
        <v>1</v>
      </c>
      <c r="D31" t="s">
        <v>25</v>
      </c>
      <c r="E31" t="s">
        <v>1</v>
      </c>
      <c r="F31">
        <v>133</v>
      </c>
      <c r="G31" s="23">
        <v>33</v>
      </c>
      <c r="H31" s="24">
        <f t="shared" si="3"/>
        <v>814.5</v>
      </c>
      <c r="I31" s="25"/>
      <c r="J31" s="15">
        <f t="shared" si="1"/>
        <v>0</v>
      </c>
      <c r="K31" s="2"/>
    </row>
    <row r="32" spans="1:15" x14ac:dyDescent="0.3">
      <c r="A32" s="21">
        <v>46034</v>
      </c>
      <c r="B32">
        <v>7471</v>
      </c>
      <c r="C32">
        <v>1</v>
      </c>
      <c r="D32" t="s">
        <v>15</v>
      </c>
      <c r="E32" t="s">
        <v>14</v>
      </c>
      <c r="F32">
        <v>99</v>
      </c>
      <c r="G32" s="23">
        <v>31</v>
      </c>
      <c r="H32" s="24">
        <f t="shared" si="3"/>
        <v>609.5</v>
      </c>
      <c r="I32" s="25"/>
      <c r="J32" s="15">
        <f t="shared" si="1"/>
        <v>0</v>
      </c>
      <c r="K32" s="2"/>
    </row>
    <row r="33" spans="1:15" x14ac:dyDescent="0.3">
      <c r="A33" s="21">
        <v>46034</v>
      </c>
      <c r="B33">
        <v>7472</v>
      </c>
      <c r="C33">
        <v>1</v>
      </c>
      <c r="D33" t="s">
        <v>26</v>
      </c>
      <c r="E33" t="s">
        <v>14</v>
      </c>
      <c r="F33">
        <v>33</v>
      </c>
      <c r="G33" s="23">
        <v>8</v>
      </c>
      <c r="H33" s="24">
        <f t="shared" si="3"/>
        <v>202</v>
      </c>
      <c r="I33" s="25"/>
      <c r="J33" s="15">
        <f t="shared" si="1"/>
        <v>0</v>
      </c>
      <c r="K33" s="2"/>
    </row>
    <row r="34" spans="1:15" x14ac:dyDescent="0.3">
      <c r="A34" s="21">
        <v>46034</v>
      </c>
      <c r="B34">
        <v>7473</v>
      </c>
      <c r="C34">
        <v>1</v>
      </c>
      <c r="D34" t="s">
        <v>17</v>
      </c>
      <c r="E34" t="s">
        <v>14</v>
      </c>
      <c r="F34">
        <v>99</v>
      </c>
      <c r="G34" s="23">
        <v>29</v>
      </c>
      <c r="H34" s="24">
        <f t="shared" si="3"/>
        <v>608.5</v>
      </c>
      <c r="I34" s="25"/>
      <c r="J34" s="15">
        <f t="shared" si="1"/>
        <v>0</v>
      </c>
      <c r="K34" s="2"/>
    </row>
    <row r="35" spans="1:15" x14ac:dyDescent="0.3">
      <c r="A35" s="4">
        <v>46034</v>
      </c>
      <c r="B35" s="1">
        <v>7474</v>
      </c>
      <c r="C35" s="1">
        <v>1</v>
      </c>
      <c r="D35" s="1" t="s">
        <v>17</v>
      </c>
      <c r="E35" s="1" t="s">
        <v>1</v>
      </c>
      <c r="F35" s="1">
        <v>33</v>
      </c>
      <c r="G35" s="5">
        <v>11</v>
      </c>
      <c r="H35" s="6">
        <f t="shared" si="3"/>
        <v>203.5</v>
      </c>
      <c r="I35" s="7"/>
      <c r="J35" s="8">
        <f t="shared" si="1"/>
        <v>0</v>
      </c>
      <c r="K35" s="9">
        <f>SUM(H30:H35)</f>
        <v>3645.5</v>
      </c>
      <c r="L35" s="1"/>
      <c r="M35" s="1"/>
      <c r="N35" s="1"/>
      <c r="O35" s="1"/>
    </row>
    <row r="36" spans="1:15" x14ac:dyDescent="0.3">
      <c r="A36" s="21">
        <v>46035</v>
      </c>
      <c r="B36">
        <v>7475</v>
      </c>
      <c r="C36">
        <v>1</v>
      </c>
      <c r="D36" s="22" t="s">
        <v>7</v>
      </c>
      <c r="E36" t="s">
        <v>4</v>
      </c>
      <c r="F36">
        <v>152</v>
      </c>
      <c r="G36" s="23">
        <v>0</v>
      </c>
      <c r="H36" s="24">
        <f>+F36*5+G36*0.5</f>
        <v>760</v>
      </c>
      <c r="I36" s="25"/>
      <c r="J36" s="15">
        <f t="shared" si="1"/>
        <v>0</v>
      </c>
      <c r="K36" s="2"/>
    </row>
    <row r="37" spans="1:15" x14ac:dyDescent="0.3">
      <c r="A37" s="21">
        <v>46035</v>
      </c>
      <c r="B37">
        <v>7475</v>
      </c>
      <c r="C37">
        <v>2</v>
      </c>
      <c r="D37" s="22" t="s">
        <v>7</v>
      </c>
      <c r="E37" t="s">
        <v>8</v>
      </c>
      <c r="F37">
        <v>40</v>
      </c>
      <c r="G37" s="23">
        <v>0</v>
      </c>
      <c r="H37" s="24">
        <f>+F37*5+G37*0.5</f>
        <v>200</v>
      </c>
      <c r="I37" s="25"/>
      <c r="J37" s="15">
        <f t="shared" si="1"/>
        <v>0</v>
      </c>
      <c r="K37" s="2">
        <f>+H37+H36</f>
        <v>960</v>
      </c>
    </row>
    <row r="38" spans="1:15" x14ac:dyDescent="0.3">
      <c r="A38" s="10">
        <v>46035</v>
      </c>
      <c r="B38" s="11">
        <v>7476</v>
      </c>
      <c r="C38" s="11">
        <v>1</v>
      </c>
      <c r="D38" s="11" t="s">
        <v>2</v>
      </c>
      <c r="E38" s="11" t="s">
        <v>3</v>
      </c>
      <c r="F38" s="11">
        <v>40</v>
      </c>
      <c r="G38" s="12">
        <v>0</v>
      </c>
      <c r="H38" s="13">
        <f>+F38*5+G38*0.5</f>
        <v>200</v>
      </c>
      <c r="I38" s="14"/>
      <c r="J38" s="15">
        <f t="shared" si="1"/>
        <v>0</v>
      </c>
      <c r="K38" s="2"/>
    </row>
    <row r="39" spans="1:15" x14ac:dyDescent="0.3">
      <c r="A39" s="10">
        <v>46035</v>
      </c>
      <c r="B39" s="11">
        <v>7476</v>
      </c>
      <c r="C39" s="11">
        <v>2</v>
      </c>
      <c r="D39" s="11" t="s">
        <v>2</v>
      </c>
      <c r="E39" s="11" t="s">
        <v>8</v>
      </c>
      <c r="F39" s="11">
        <v>63</v>
      </c>
      <c r="G39" s="12">
        <v>0</v>
      </c>
      <c r="H39" s="13">
        <f>+F39*5+G39*0.5</f>
        <v>315</v>
      </c>
      <c r="I39" s="14"/>
      <c r="J39" s="15">
        <f t="shared" si="1"/>
        <v>0</v>
      </c>
      <c r="K39" s="2"/>
    </row>
    <row r="40" spans="1:15" x14ac:dyDescent="0.3">
      <c r="A40" s="10">
        <v>46035</v>
      </c>
      <c r="B40" s="11">
        <v>7476</v>
      </c>
      <c r="C40" s="11">
        <v>3</v>
      </c>
      <c r="D40" s="11" t="s">
        <v>2</v>
      </c>
      <c r="E40" s="11" t="s">
        <v>6</v>
      </c>
      <c r="F40" s="11">
        <v>5</v>
      </c>
      <c r="G40" s="12">
        <v>0</v>
      </c>
      <c r="H40" s="13">
        <f>+F40*7+G40*0.5</f>
        <v>35</v>
      </c>
      <c r="I40" s="14"/>
      <c r="J40" s="15">
        <f t="shared" si="1"/>
        <v>0</v>
      </c>
      <c r="K40" s="2"/>
    </row>
    <row r="41" spans="1:15" x14ac:dyDescent="0.3">
      <c r="A41" s="10">
        <v>46035</v>
      </c>
      <c r="B41" s="11">
        <v>7476</v>
      </c>
      <c r="C41" s="11">
        <v>4</v>
      </c>
      <c r="D41" s="11" t="s">
        <v>2</v>
      </c>
      <c r="E41" s="11" t="s">
        <v>5</v>
      </c>
      <c r="F41" s="11">
        <v>26</v>
      </c>
      <c r="G41" s="12">
        <v>0</v>
      </c>
      <c r="H41" s="13">
        <f>+F41*5+G41*0.5</f>
        <v>130</v>
      </c>
      <c r="I41" s="14"/>
      <c r="J41" s="15">
        <f t="shared" si="1"/>
        <v>0</v>
      </c>
      <c r="K41" s="2">
        <f>+H41+H40+H39+H38</f>
        <v>680</v>
      </c>
    </row>
    <row r="42" spans="1:15" x14ac:dyDescent="0.3">
      <c r="A42" s="21">
        <v>46035</v>
      </c>
      <c r="B42">
        <v>7477</v>
      </c>
      <c r="C42">
        <v>1</v>
      </c>
      <c r="D42" t="s">
        <v>22</v>
      </c>
      <c r="E42" t="s">
        <v>1</v>
      </c>
      <c r="F42">
        <v>99</v>
      </c>
      <c r="G42" s="23">
        <v>33</v>
      </c>
      <c r="H42" s="24">
        <f t="shared" ref="H42:H101" si="5">+F42*6+G42*0.5</f>
        <v>610.5</v>
      </c>
      <c r="I42" s="25"/>
      <c r="J42" s="15">
        <f t="shared" si="1"/>
        <v>0</v>
      </c>
      <c r="K42" s="2"/>
    </row>
    <row r="43" spans="1:15" x14ac:dyDescent="0.3">
      <c r="A43" s="21">
        <v>46035</v>
      </c>
      <c r="B43">
        <v>7478</v>
      </c>
      <c r="C43">
        <v>1</v>
      </c>
      <c r="D43" t="s">
        <v>27</v>
      </c>
      <c r="E43" t="s">
        <v>14</v>
      </c>
      <c r="F43">
        <v>33</v>
      </c>
      <c r="G43" s="23">
        <v>11</v>
      </c>
      <c r="H43" s="24">
        <f t="shared" si="5"/>
        <v>203.5</v>
      </c>
      <c r="I43" s="25"/>
      <c r="J43" s="15">
        <f t="shared" si="1"/>
        <v>0</v>
      </c>
      <c r="K43" s="2"/>
    </row>
    <row r="44" spans="1:15" x14ac:dyDescent="0.3">
      <c r="A44" s="21">
        <v>46035</v>
      </c>
      <c r="B44">
        <v>7479</v>
      </c>
      <c r="C44">
        <v>1</v>
      </c>
      <c r="D44" t="s">
        <v>0</v>
      </c>
      <c r="E44" t="s">
        <v>14</v>
      </c>
      <c r="F44">
        <v>33</v>
      </c>
      <c r="G44" s="23">
        <v>3</v>
      </c>
      <c r="H44" s="24">
        <f t="shared" si="5"/>
        <v>199.5</v>
      </c>
      <c r="I44" s="25"/>
      <c r="J44" s="15">
        <f t="shared" si="1"/>
        <v>0</v>
      </c>
      <c r="K44" s="2"/>
    </row>
    <row r="45" spans="1:15" x14ac:dyDescent="0.3">
      <c r="A45" s="21">
        <v>46035</v>
      </c>
      <c r="B45">
        <v>7480</v>
      </c>
      <c r="C45">
        <v>1</v>
      </c>
      <c r="D45" t="s">
        <v>16</v>
      </c>
      <c r="E45" t="s">
        <v>14</v>
      </c>
      <c r="F45">
        <v>99</v>
      </c>
      <c r="G45" s="23">
        <v>25</v>
      </c>
      <c r="H45" s="24">
        <f t="shared" si="5"/>
        <v>606.5</v>
      </c>
      <c r="I45" s="25"/>
      <c r="J45" s="15">
        <f t="shared" si="1"/>
        <v>0</v>
      </c>
      <c r="K45" s="2"/>
    </row>
    <row r="46" spans="1:15" x14ac:dyDescent="0.3">
      <c r="A46" s="21">
        <v>46035</v>
      </c>
      <c r="B46">
        <v>7481</v>
      </c>
      <c r="C46">
        <v>1</v>
      </c>
      <c r="D46" t="s">
        <v>15</v>
      </c>
      <c r="E46" t="s">
        <v>14</v>
      </c>
      <c r="F46">
        <v>33</v>
      </c>
      <c r="G46" s="23">
        <v>10</v>
      </c>
      <c r="H46" s="24">
        <f t="shared" si="5"/>
        <v>203</v>
      </c>
      <c r="I46" s="25"/>
      <c r="J46" s="15">
        <f t="shared" si="1"/>
        <v>0</v>
      </c>
      <c r="K46" s="2"/>
    </row>
    <row r="47" spans="1:15" x14ac:dyDescent="0.3">
      <c r="A47" s="21">
        <v>46035</v>
      </c>
      <c r="B47">
        <v>7482</v>
      </c>
      <c r="C47">
        <v>1</v>
      </c>
      <c r="D47" t="s">
        <v>23</v>
      </c>
      <c r="E47" t="s">
        <v>14</v>
      </c>
      <c r="F47">
        <v>33</v>
      </c>
      <c r="G47" s="23">
        <v>11</v>
      </c>
      <c r="H47" s="24">
        <f t="shared" si="5"/>
        <v>203.5</v>
      </c>
      <c r="I47" s="25"/>
      <c r="J47" s="15">
        <f t="shared" si="1"/>
        <v>0</v>
      </c>
      <c r="K47" s="2"/>
    </row>
    <row r="48" spans="1:15" x14ac:dyDescent="0.3">
      <c r="A48" s="21">
        <v>46035</v>
      </c>
      <c r="B48">
        <v>7483</v>
      </c>
      <c r="C48">
        <v>1</v>
      </c>
      <c r="D48" t="s">
        <v>17</v>
      </c>
      <c r="E48" t="s">
        <v>14</v>
      </c>
      <c r="F48">
        <v>66</v>
      </c>
      <c r="G48" s="23">
        <v>15</v>
      </c>
      <c r="H48" s="24">
        <f t="shared" si="5"/>
        <v>403.5</v>
      </c>
      <c r="I48" s="25"/>
      <c r="J48" s="15">
        <f t="shared" si="1"/>
        <v>0</v>
      </c>
      <c r="K48" s="2"/>
    </row>
    <row r="49" spans="1:15" x14ac:dyDescent="0.3">
      <c r="A49" s="4">
        <v>46035</v>
      </c>
      <c r="B49" s="1">
        <v>7484</v>
      </c>
      <c r="C49" s="1">
        <v>1</v>
      </c>
      <c r="D49" s="1" t="s">
        <v>28</v>
      </c>
      <c r="E49" s="1" t="s">
        <v>1</v>
      </c>
      <c r="F49" s="1">
        <v>33</v>
      </c>
      <c r="G49" s="5">
        <v>8</v>
      </c>
      <c r="H49" s="6">
        <f t="shared" si="5"/>
        <v>202</v>
      </c>
      <c r="I49" s="7"/>
      <c r="J49" s="8">
        <f t="shared" si="1"/>
        <v>0</v>
      </c>
      <c r="K49" s="9">
        <f>SUM(H42:H49)</f>
        <v>2632</v>
      </c>
      <c r="L49" s="1"/>
      <c r="M49" s="1"/>
      <c r="N49" s="1"/>
      <c r="O49" s="1"/>
    </row>
    <row r="50" spans="1:15" x14ac:dyDescent="0.3">
      <c r="A50" s="21">
        <v>46036</v>
      </c>
      <c r="B50">
        <v>7485</v>
      </c>
      <c r="C50">
        <v>1</v>
      </c>
      <c r="D50" s="22" t="s">
        <v>7</v>
      </c>
      <c r="E50" t="s">
        <v>4</v>
      </c>
      <c r="F50">
        <v>181</v>
      </c>
      <c r="G50" s="23">
        <v>0</v>
      </c>
      <c r="H50" s="24">
        <f>+F50*5+G50*0.5</f>
        <v>905</v>
      </c>
      <c r="I50" s="25"/>
      <c r="J50" s="15">
        <f t="shared" si="1"/>
        <v>0</v>
      </c>
      <c r="K50" s="2">
        <f>+H50</f>
        <v>905</v>
      </c>
    </row>
    <row r="51" spans="1:15" x14ac:dyDescent="0.3">
      <c r="A51" s="21">
        <v>46036</v>
      </c>
      <c r="B51">
        <v>7486</v>
      </c>
      <c r="C51">
        <v>1</v>
      </c>
      <c r="D51" t="s">
        <v>22</v>
      </c>
      <c r="E51" t="s">
        <v>1</v>
      </c>
      <c r="F51">
        <v>99</v>
      </c>
      <c r="G51" s="23">
        <v>17</v>
      </c>
      <c r="H51" s="24">
        <f t="shared" si="5"/>
        <v>602.5</v>
      </c>
      <c r="I51" s="25"/>
      <c r="J51" s="15">
        <f t="shared" si="1"/>
        <v>0</v>
      </c>
      <c r="K51" s="2"/>
    </row>
    <row r="52" spans="1:15" x14ac:dyDescent="0.3">
      <c r="A52" s="21">
        <v>46036</v>
      </c>
      <c r="B52">
        <v>7487</v>
      </c>
      <c r="C52">
        <v>1</v>
      </c>
      <c r="D52" t="s">
        <v>29</v>
      </c>
      <c r="E52" t="s">
        <v>14</v>
      </c>
      <c r="F52">
        <v>33</v>
      </c>
      <c r="G52" s="23">
        <v>10</v>
      </c>
      <c r="H52" s="24">
        <f t="shared" si="5"/>
        <v>203</v>
      </c>
      <c r="I52" s="25"/>
      <c r="J52" s="15">
        <f t="shared" si="1"/>
        <v>0</v>
      </c>
      <c r="K52" s="2"/>
    </row>
    <row r="53" spans="1:15" x14ac:dyDescent="0.3">
      <c r="A53" s="4">
        <v>46036</v>
      </c>
      <c r="B53" s="1">
        <v>7488</v>
      </c>
      <c r="C53" s="1">
        <v>1</v>
      </c>
      <c r="D53" s="1" t="s">
        <v>17</v>
      </c>
      <c r="E53" s="1" t="s">
        <v>14</v>
      </c>
      <c r="F53" s="1">
        <v>133</v>
      </c>
      <c r="G53" s="5">
        <v>28</v>
      </c>
      <c r="H53" s="6">
        <f t="shared" si="5"/>
        <v>812</v>
      </c>
      <c r="I53" s="7"/>
      <c r="J53" s="8">
        <f t="shared" si="1"/>
        <v>0</v>
      </c>
      <c r="K53" s="9">
        <f>SUM(H51:H53)</f>
        <v>1617.5</v>
      </c>
      <c r="L53" s="1"/>
      <c r="M53" s="1"/>
      <c r="N53" s="1"/>
      <c r="O53" s="1"/>
    </row>
    <row r="54" spans="1:15" x14ac:dyDescent="0.3">
      <c r="A54" s="21">
        <v>46037</v>
      </c>
      <c r="B54">
        <v>7489</v>
      </c>
      <c r="C54">
        <v>1</v>
      </c>
      <c r="D54" s="22" t="s">
        <v>7</v>
      </c>
      <c r="E54" t="s">
        <v>4</v>
      </c>
      <c r="F54">
        <v>153</v>
      </c>
      <c r="G54" s="23">
        <v>0</v>
      </c>
      <c r="H54" s="24">
        <f>+F54*5+G54*0.5</f>
        <v>765</v>
      </c>
      <c r="I54" s="25"/>
      <c r="J54" s="15">
        <f t="shared" si="1"/>
        <v>0</v>
      </c>
      <c r="K54" s="2"/>
    </row>
    <row r="55" spans="1:15" x14ac:dyDescent="0.3">
      <c r="A55" s="21">
        <v>46037</v>
      </c>
      <c r="B55">
        <v>7489</v>
      </c>
      <c r="C55">
        <v>2</v>
      </c>
      <c r="D55" s="22" t="s">
        <v>7</v>
      </c>
      <c r="E55" t="s">
        <v>8</v>
      </c>
      <c r="F55">
        <v>42</v>
      </c>
      <c r="G55" s="23">
        <v>0</v>
      </c>
      <c r="H55" s="24">
        <f>+F55*5+G55*0.5</f>
        <v>210</v>
      </c>
      <c r="I55" s="25"/>
      <c r="J55" s="15">
        <f t="shared" si="1"/>
        <v>0</v>
      </c>
      <c r="K55" s="2">
        <f>+H55+H54</f>
        <v>975</v>
      </c>
    </row>
    <row r="56" spans="1:15" x14ac:dyDescent="0.3">
      <c r="A56" s="21">
        <v>46037</v>
      </c>
      <c r="B56">
        <v>7490</v>
      </c>
      <c r="C56">
        <v>1</v>
      </c>
      <c r="D56" t="s">
        <v>30</v>
      </c>
      <c r="E56" t="s">
        <v>14</v>
      </c>
      <c r="F56">
        <v>66</v>
      </c>
      <c r="G56" s="23">
        <v>20</v>
      </c>
      <c r="H56" s="24">
        <f t="shared" si="5"/>
        <v>406</v>
      </c>
      <c r="I56" s="25"/>
      <c r="J56" s="15">
        <f t="shared" si="1"/>
        <v>0</v>
      </c>
      <c r="K56" s="2"/>
    </row>
    <row r="57" spans="1:15" x14ac:dyDescent="0.3">
      <c r="A57" s="21">
        <v>46037</v>
      </c>
      <c r="B57">
        <v>7491</v>
      </c>
      <c r="C57">
        <v>1</v>
      </c>
      <c r="D57" t="s">
        <v>27</v>
      </c>
      <c r="E57" t="s">
        <v>14</v>
      </c>
      <c r="F57">
        <v>99</v>
      </c>
      <c r="G57" s="23">
        <v>30</v>
      </c>
      <c r="H57" s="24">
        <f t="shared" si="5"/>
        <v>609</v>
      </c>
      <c r="I57" s="25"/>
      <c r="J57" s="15">
        <f t="shared" si="1"/>
        <v>0</v>
      </c>
      <c r="K57" s="2"/>
    </row>
    <row r="58" spans="1:15" x14ac:dyDescent="0.3">
      <c r="A58" s="21">
        <v>46037</v>
      </c>
      <c r="B58">
        <v>7492</v>
      </c>
      <c r="C58">
        <v>1</v>
      </c>
      <c r="D58" t="s">
        <v>29</v>
      </c>
      <c r="E58" t="s">
        <v>14</v>
      </c>
      <c r="F58">
        <v>33</v>
      </c>
      <c r="G58" s="23">
        <v>9</v>
      </c>
      <c r="H58" s="24">
        <f t="shared" si="5"/>
        <v>202.5</v>
      </c>
      <c r="I58" s="25"/>
      <c r="J58" s="15">
        <f t="shared" si="1"/>
        <v>0</v>
      </c>
      <c r="K58" s="2"/>
    </row>
    <row r="59" spans="1:15" x14ac:dyDescent="0.3">
      <c r="A59" s="21">
        <v>46037</v>
      </c>
      <c r="B59">
        <v>7493</v>
      </c>
      <c r="C59">
        <v>1</v>
      </c>
      <c r="D59" t="s">
        <v>17</v>
      </c>
      <c r="E59" t="s">
        <v>14</v>
      </c>
      <c r="F59">
        <v>33</v>
      </c>
      <c r="G59" s="23">
        <v>8</v>
      </c>
      <c r="H59" s="24">
        <f t="shared" si="5"/>
        <v>202</v>
      </c>
      <c r="I59" s="25"/>
      <c r="J59" s="15">
        <f t="shared" si="1"/>
        <v>0</v>
      </c>
      <c r="K59" s="2"/>
    </row>
    <row r="60" spans="1:15" x14ac:dyDescent="0.3">
      <c r="A60" s="4">
        <v>46037</v>
      </c>
      <c r="B60" s="1">
        <v>7494</v>
      </c>
      <c r="C60" s="1">
        <v>1</v>
      </c>
      <c r="D60" s="1" t="s">
        <v>17</v>
      </c>
      <c r="E60" s="1" t="s">
        <v>1</v>
      </c>
      <c r="F60" s="1">
        <v>33</v>
      </c>
      <c r="G60" s="5">
        <v>8</v>
      </c>
      <c r="H60" s="6">
        <f t="shared" si="5"/>
        <v>202</v>
      </c>
      <c r="I60" s="7"/>
      <c r="J60" s="8">
        <f t="shared" si="1"/>
        <v>0</v>
      </c>
      <c r="K60" s="9">
        <f>SUM(H56:H60)</f>
        <v>1621.5</v>
      </c>
      <c r="L60" s="1"/>
      <c r="M60" s="1"/>
      <c r="N60" s="1"/>
      <c r="O60" s="1"/>
    </row>
    <row r="61" spans="1:15" x14ac:dyDescent="0.3">
      <c r="A61" s="21">
        <v>46038</v>
      </c>
      <c r="B61">
        <v>7495</v>
      </c>
      <c r="C61">
        <v>1</v>
      </c>
      <c r="D61" s="22" t="s">
        <v>18</v>
      </c>
      <c r="E61" t="s">
        <v>19</v>
      </c>
      <c r="F61">
        <v>48</v>
      </c>
      <c r="G61" s="23">
        <v>0</v>
      </c>
      <c r="H61" s="24">
        <f t="shared" si="5"/>
        <v>288</v>
      </c>
      <c r="I61" s="25"/>
      <c r="J61" s="15">
        <f t="shared" si="1"/>
        <v>0</v>
      </c>
      <c r="K61" s="2"/>
    </row>
    <row r="62" spans="1:15" x14ac:dyDescent="0.3">
      <c r="A62" s="21">
        <v>46038</v>
      </c>
      <c r="B62">
        <v>7496</v>
      </c>
      <c r="C62">
        <v>1</v>
      </c>
      <c r="D62" s="22" t="s">
        <v>18</v>
      </c>
      <c r="E62" t="s">
        <v>19</v>
      </c>
      <c r="F62">
        <v>12</v>
      </c>
      <c r="G62" s="23">
        <v>0</v>
      </c>
      <c r="H62" s="24">
        <f t="shared" si="5"/>
        <v>72</v>
      </c>
      <c r="I62" s="25"/>
      <c r="J62" s="15">
        <f t="shared" si="1"/>
        <v>0</v>
      </c>
      <c r="K62" s="2">
        <f>+H61+H62+H69+H70</f>
        <v>1136.5</v>
      </c>
    </row>
    <row r="63" spans="1:15" x14ac:dyDescent="0.3">
      <c r="A63" s="21">
        <v>46038</v>
      </c>
      <c r="B63">
        <v>7497</v>
      </c>
      <c r="C63">
        <v>1</v>
      </c>
      <c r="D63" s="22" t="s">
        <v>7</v>
      </c>
      <c r="E63" t="s">
        <v>8</v>
      </c>
      <c r="F63">
        <v>233</v>
      </c>
      <c r="G63" s="23">
        <v>0</v>
      </c>
      <c r="H63" s="24">
        <f>+F63*5+G63*0.5</f>
        <v>1165</v>
      </c>
      <c r="I63" s="25"/>
      <c r="J63" s="15">
        <f t="shared" si="1"/>
        <v>0</v>
      </c>
      <c r="K63" s="2">
        <f>SUM(H63:H72)+H74-H70-H69</f>
        <v>4249</v>
      </c>
    </row>
    <row r="64" spans="1:15" x14ac:dyDescent="0.3">
      <c r="A64" s="21">
        <v>46038</v>
      </c>
      <c r="B64">
        <v>7497</v>
      </c>
      <c r="C64">
        <v>2</v>
      </c>
      <c r="D64" s="22" t="s">
        <v>7</v>
      </c>
      <c r="E64" t="s">
        <v>4</v>
      </c>
      <c r="F64">
        <v>82</v>
      </c>
      <c r="G64" s="23">
        <v>0</v>
      </c>
      <c r="H64" s="24">
        <f>+F64*5+G64*0.5</f>
        <v>410</v>
      </c>
      <c r="I64" s="25"/>
      <c r="J64" s="15">
        <f t="shared" si="1"/>
        <v>0</v>
      </c>
      <c r="K64" s="2"/>
    </row>
    <row r="65" spans="1:15" x14ac:dyDescent="0.3">
      <c r="A65" s="21">
        <v>46038</v>
      </c>
      <c r="B65">
        <v>7497</v>
      </c>
      <c r="C65">
        <v>3</v>
      </c>
      <c r="D65" s="22" t="s">
        <v>7</v>
      </c>
      <c r="E65" t="s">
        <v>24</v>
      </c>
      <c r="F65">
        <v>25</v>
      </c>
      <c r="G65" s="23">
        <v>0</v>
      </c>
      <c r="H65" s="24">
        <f>+F65*5+G65*0.5</f>
        <v>125</v>
      </c>
      <c r="I65" s="25"/>
      <c r="J65" s="15">
        <f t="shared" si="1"/>
        <v>0</v>
      </c>
      <c r="K65" s="2"/>
    </row>
    <row r="66" spans="1:15" x14ac:dyDescent="0.3">
      <c r="A66" s="21">
        <v>46038</v>
      </c>
      <c r="B66">
        <v>7498</v>
      </c>
      <c r="C66">
        <v>1</v>
      </c>
      <c r="D66" s="22" t="s">
        <v>7</v>
      </c>
      <c r="E66" t="s">
        <v>8</v>
      </c>
      <c r="F66">
        <v>81</v>
      </c>
      <c r="G66" s="23">
        <v>0</v>
      </c>
      <c r="H66" s="24">
        <f t="shared" ref="H66:H68" si="6">+F66*5+G66*0.5</f>
        <v>405</v>
      </c>
      <c r="I66" s="25"/>
      <c r="J66" s="15">
        <f t="shared" si="1"/>
        <v>0</v>
      </c>
      <c r="K66" s="2"/>
    </row>
    <row r="67" spans="1:15" x14ac:dyDescent="0.3">
      <c r="A67" s="21">
        <v>46038</v>
      </c>
      <c r="B67">
        <v>7498</v>
      </c>
      <c r="C67">
        <v>2</v>
      </c>
      <c r="D67" s="22" t="s">
        <v>7</v>
      </c>
      <c r="E67" t="s">
        <v>24</v>
      </c>
      <c r="F67">
        <v>39</v>
      </c>
      <c r="G67" s="23">
        <v>0</v>
      </c>
      <c r="H67" s="24">
        <f t="shared" si="6"/>
        <v>195</v>
      </c>
      <c r="I67" s="25"/>
      <c r="J67" s="15">
        <f t="shared" si="1"/>
        <v>0</v>
      </c>
      <c r="K67" s="2"/>
    </row>
    <row r="68" spans="1:15" x14ac:dyDescent="0.3">
      <c r="A68" s="21">
        <v>46038</v>
      </c>
      <c r="B68">
        <v>7498</v>
      </c>
      <c r="C68">
        <v>3</v>
      </c>
      <c r="D68" s="22" t="s">
        <v>7</v>
      </c>
      <c r="E68" t="s">
        <v>4</v>
      </c>
      <c r="F68">
        <v>72</v>
      </c>
      <c r="G68" s="23">
        <v>0</v>
      </c>
      <c r="H68" s="24">
        <f t="shared" si="6"/>
        <v>360</v>
      </c>
      <c r="I68" s="25"/>
      <c r="J68" s="15">
        <f t="shared" si="1"/>
        <v>0</v>
      </c>
      <c r="K68" s="2"/>
    </row>
    <row r="69" spans="1:15" x14ac:dyDescent="0.3">
      <c r="A69" s="21">
        <v>46038</v>
      </c>
      <c r="B69">
        <v>7499</v>
      </c>
      <c r="C69">
        <v>1</v>
      </c>
      <c r="D69" s="22" t="s">
        <v>18</v>
      </c>
      <c r="E69" t="s">
        <v>31</v>
      </c>
      <c r="F69">
        <v>65</v>
      </c>
      <c r="G69" s="23">
        <v>11</v>
      </c>
      <c r="H69" s="24">
        <f>+F69*6+G69*0.5</f>
        <v>395.5</v>
      </c>
      <c r="I69" s="25"/>
      <c r="J69" s="15">
        <f t="shared" si="1"/>
        <v>0</v>
      </c>
      <c r="K69" s="2"/>
    </row>
    <row r="70" spans="1:15" x14ac:dyDescent="0.3">
      <c r="A70" s="21">
        <v>46038</v>
      </c>
      <c r="B70">
        <v>7499</v>
      </c>
      <c r="C70">
        <v>2</v>
      </c>
      <c r="D70" s="22" t="s">
        <v>18</v>
      </c>
      <c r="E70" t="s">
        <v>32</v>
      </c>
      <c r="F70">
        <v>63</v>
      </c>
      <c r="G70" s="23">
        <v>3</v>
      </c>
      <c r="H70" s="24">
        <f>+F70*6+G70*1</f>
        <v>381</v>
      </c>
      <c r="I70" s="25"/>
      <c r="J70" s="15">
        <f t="shared" si="1"/>
        <v>0</v>
      </c>
      <c r="K70" s="2"/>
    </row>
    <row r="71" spans="1:15" x14ac:dyDescent="0.3">
      <c r="A71" s="21">
        <v>46038</v>
      </c>
      <c r="B71">
        <v>7500</v>
      </c>
      <c r="C71">
        <v>1</v>
      </c>
      <c r="D71" s="22" t="s">
        <v>7</v>
      </c>
      <c r="E71" t="s">
        <v>8</v>
      </c>
      <c r="F71">
        <v>244</v>
      </c>
      <c r="G71" s="23">
        <v>0</v>
      </c>
      <c r="H71" s="24">
        <f>+F71*5+G71*0.5</f>
        <v>1220</v>
      </c>
      <c r="I71" s="25"/>
      <c r="J71" s="15">
        <f t="shared" si="1"/>
        <v>0</v>
      </c>
      <c r="K71" s="2"/>
    </row>
    <row r="72" spans="1:15" x14ac:dyDescent="0.3">
      <c r="A72" s="21">
        <v>46038</v>
      </c>
      <c r="B72">
        <v>7500</v>
      </c>
      <c r="C72">
        <v>2</v>
      </c>
      <c r="D72" s="22" t="s">
        <v>7</v>
      </c>
      <c r="E72" t="s">
        <v>4</v>
      </c>
      <c r="F72">
        <v>36</v>
      </c>
      <c r="G72" s="23">
        <v>0</v>
      </c>
      <c r="H72" s="24">
        <f>+F72*5+G72*0.5</f>
        <v>180</v>
      </c>
      <c r="I72" s="25"/>
      <c r="J72" s="15">
        <f t="shared" si="1"/>
        <v>0</v>
      </c>
      <c r="K72" s="2"/>
    </row>
    <row r="73" spans="1:15" x14ac:dyDescent="0.3">
      <c r="A73" s="21">
        <v>46038</v>
      </c>
      <c r="B73">
        <v>7501</v>
      </c>
      <c r="C73">
        <v>1</v>
      </c>
      <c r="D73" t="s">
        <v>15</v>
      </c>
      <c r="E73" t="s">
        <v>14</v>
      </c>
      <c r="F73">
        <v>266</v>
      </c>
      <c r="G73" s="23">
        <v>50</v>
      </c>
      <c r="H73" s="24">
        <f t="shared" si="5"/>
        <v>1621</v>
      </c>
      <c r="I73" s="25"/>
      <c r="J73" s="15">
        <f t="shared" si="1"/>
        <v>0</v>
      </c>
      <c r="K73" s="2">
        <f>+H73</f>
        <v>1621</v>
      </c>
    </row>
    <row r="74" spans="1:15" x14ac:dyDescent="0.3">
      <c r="A74" s="54">
        <v>46038</v>
      </c>
      <c r="B74" s="55">
        <v>7502</v>
      </c>
      <c r="C74" s="55">
        <v>1</v>
      </c>
      <c r="D74" s="56" t="s">
        <v>7</v>
      </c>
      <c r="E74" s="55" t="s">
        <v>31</v>
      </c>
      <c r="F74" s="55">
        <v>18</v>
      </c>
      <c r="G74" s="57">
        <v>0</v>
      </c>
      <c r="H74" s="58">
        <f>+F74*10.5+G74*0.5</f>
        <v>189</v>
      </c>
      <c r="I74" s="59"/>
      <c r="J74" s="60">
        <f t="shared" si="1"/>
        <v>0</v>
      </c>
      <c r="K74" s="61"/>
      <c r="L74" s="55"/>
      <c r="M74" s="55"/>
      <c r="N74" s="55"/>
      <c r="O74" s="55"/>
    </row>
    <row r="75" spans="1:15" x14ac:dyDescent="0.3">
      <c r="A75" s="21">
        <v>46039</v>
      </c>
      <c r="B75">
        <v>7503</v>
      </c>
      <c r="C75">
        <v>1</v>
      </c>
      <c r="D75" t="s">
        <v>16</v>
      </c>
      <c r="E75" t="s">
        <v>14</v>
      </c>
      <c r="F75">
        <v>199</v>
      </c>
      <c r="G75" s="23">
        <v>36</v>
      </c>
      <c r="H75" s="24">
        <f t="shared" si="5"/>
        <v>1212</v>
      </c>
      <c r="I75" s="25"/>
      <c r="J75" s="15">
        <f t="shared" si="1"/>
        <v>0</v>
      </c>
      <c r="K75" s="2"/>
    </row>
    <row r="76" spans="1:15" x14ac:dyDescent="0.3">
      <c r="A76" s="21">
        <v>46039</v>
      </c>
      <c r="B76">
        <v>7504</v>
      </c>
      <c r="C76">
        <v>1</v>
      </c>
      <c r="D76" t="s">
        <v>17</v>
      </c>
      <c r="E76" t="s">
        <v>1</v>
      </c>
      <c r="F76">
        <v>33</v>
      </c>
      <c r="G76" s="23">
        <v>11</v>
      </c>
      <c r="H76" s="24">
        <f t="shared" si="5"/>
        <v>203.5</v>
      </c>
      <c r="I76" s="25"/>
      <c r="J76" s="15">
        <f t="shared" si="1"/>
        <v>0</v>
      </c>
      <c r="K76" s="2"/>
    </row>
    <row r="77" spans="1:15" x14ac:dyDescent="0.3">
      <c r="A77" s="21">
        <v>46039</v>
      </c>
      <c r="B77">
        <v>7505</v>
      </c>
      <c r="C77">
        <v>1</v>
      </c>
      <c r="D77" t="s">
        <v>22</v>
      </c>
      <c r="E77" t="s">
        <v>1</v>
      </c>
      <c r="F77">
        <v>127</v>
      </c>
      <c r="G77" s="23">
        <v>24</v>
      </c>
      <c r="H77" s="24">
        <f t="shared" si="5"/>
        <v>774</v>
      </c>
      <c r="I77" s="25"/>
      <c r="J77" s="15">
        <f>+H77*I77</f>
        <v>0</v>
      </c>
      <c r="K77" s="2">
        <f>+H75+H76+H77+H79+H83+H84+H85</f>
        <v>3380.5</v>
      </c>
    </row>
    <row r="78" spans="1:15" x14ac:dyDescent="0.3">
      <c r="A78" s="21">
        <v>46039</v>
      </c>
      <c r="B78">
        <v>7505</v>
      </c>
      <c r="C78">
        <v>1</v>
      </c>
      <c r="D78" t="s">
        <v>22</v>
      </c>
      <c r="E78" t="s">
        <v>1</v>
      </c>
      <c r="F78">
        <v>38</v>
      </c>
      <c r="G78" s="23">
        <v>17</v>
      </c>
      <c r="H78" s="24">
        <f t="shared" si="5"/>
        <v>236.5</v>
      </c>
      <c r="I78" s="25"/>
      <c r="J78" s="15">
        <f>+H78*I78</f>
        <v>0</v>
      </c>
      <c r="K78" s="2"/>
    </row>
    <row r="79" spans="1:15" x14ac:dyDescent="0.3">
      <c r="A79" s="21">
        <v>46039</v>
      </c>
      <c r="B79">
        <v>7506</v>
      </c>
      <c r="C79">
        <v>1</v>
      </c>
      <c r="D79" t="s">
        <v>22</v>
      </c>
      <c r="E79" t="s">
        <v>33</v>
      </c>
      <c r="F79">
        <v>29</v>
      </c>
      <c r="G79" s="23">
        <v>0</v>
      </c>
      <c r="H79" s="24">
        <f t="shared" si="5"/>
        <v>174</v>
      </c>
      <c r="I79" s="25"/>
      <c r="J79" s="15">
        <f>+H79*I79</f>
        <v>0</v>
      </c>
      <c r="K79" s="2"/>
    </row>
    <row r="80" spans="1:15" x14ac:dyDescent="0.3">
      <c r="A80" s="21">
        <v>46039</v>
      </c>
      <c r="B80">
        <v>7507</v>
      </c>
      <c r="C80">
        <v>1</v>
      </c>
      <c r="D80" s="22" t="s">
        <v>7</v>
      </c>
      <c r="E80" t="s">
        <v>4</v>
      </c>
      <c r="F80">
        <v>79</v>
      </c>
      <c r="G80" s="23">
        <v>0</v>
      </c>
      <c r="H80" s="24">
        <f>+F80*5+G80*0.5</f>
        <v>395</v>
      </c>
      <c r="I80" s="25"/>
      <c r="J80" s="15">
        <f t="shared" si="1"/>
        <v>0</v>
      </c>
      <c r="K80" s="2"/>
    </row>
    <row r="81" spans="1:15" x14ac:dyDescent="0.3">
      <c r="A81" s="21">
        <v>46039</v>
      </c>
      <c r="B81">
        <v>7507</v>
      </c>
      <c r="C81">
        <v>2</v>
      </c>
      <c r="D81" s="22" t="s">
        <v>7</v>
      </c>
      <c r="E81" t="s">
        <v>8</v>
      </c>
      <c r="F81">
        <v>42</v>
      </c>
      <c r="G81" s="23">
        <v>0</v>
      </c>
      <c r="H81" s="24">
        <f t="shared" ref="H81:H82" si="7">+F81*5+G81*0.5</f>
        <v>210</v>
      </c>
      <c r="I81" s="25"/>
      <c r="J81" s="15">
        <f t="shared" si="1"/>
        <v>0</v>
      </c>
      <c r="K81" s="2">
        <f>+H82+H80+H81</f>
        <v>1000</v>
      </c>
    </row>
    <row r="82" spans="1:15" x14ac:dyDescent="0.3">
      <c r="A82" s="21">
        <v>46039</v>
      </c>
      <c r="B82">
        <v>7507</v>
      </c>
      <c r="C82">
        <v>3</v>
      </c>
      <c r="D82" s="22" t="s">
        <v>7</v>
      </c>
      <c r="E82" t="s">
        <v>24</v>
      </c>
      <c r="F82">
        <v>79</v>
      </c>
      <c r="G82" s="23">
        <v>0</v>
      </c>
      <c r="H82" s="24">
        <f t="shared" si="7"/>
        <v>395</v>
      </c>
      <c r="I82" s="25"/>
      <c r="J82" s="15">
        <f t="shared" si="1"/>
        <v>0</v>
      </c>
      <c r="K82" s="2"/>
    </row>
    <row r="83" spans="1:15" x14ac:dyDescent="0.3">
      <c r="A83" s="21">
        <v>46039</v>
      </c>
      <c r="B83">
        <v>7508</v>
      </c>
      <c r="C83">
        <v>1</v>
      </c>
      <c r="D83" t="s">
        <v>0</v>
      </c>
      <c r="E83" t="s">
        <v>14</v>
      </c>
      <c r="F83">
        <v>100</v>
      </c>
      <c r="G83" s="23">
        <v>21</v>
      </c>
      <c r="H83" s="24">
        <f t="shared" si="5"/>
        <v>610.5</v>
      </c>
      <c r="I83" s="25"/>
      <c r="J83" s="15">
        <f t="shared" si="1"/>
        <v>0</v>
      </c>
      <c r="K83" s="2"/>
    </row>
    <row r="84" spans="1:15" x14ac:dyDescent="0.3">
      <c r="A84" s="21">
        <v>46039</v>
      </c>
      <c r="B84">
        <v>7509</v>
      </c>
      <c r="C84">
        <v>1</v>
      </c>
      <c r="D84" t="s">
        <v>0</v>
      </c>
      <c r="E84" t="s">
        <v>1</v>
      </c>
      <c r="F84">
        <v>33</v>
      </c>
      <c r="G84" s="23">
        <v>10</v>
      </c>
      <c r="H84" s="24">
        <f t="shared" si="5"/>
        <v>203</v>
      </c>
      <c r="I84" s="25"/>
      <c r="J84" s="15">
        <f t="shared" si="1"/>
        <v>0</v>
      </c>
      <c r="K84" s="2"/>
    </row>
    <row r="85" spans="1:15" x14ac:dyDescent="0.3">
      <c r="A85" s="4">
        <v>46039</v>
      </c>
      <c r="B85" s="1">
        <v>7510</v>
      </c>
      <c r="C85" s="1">
        <v>1</v>
      </c>
      <c r="D85" s="1" t="s">
        <v>25</v>
      </c>
      <c r="E85" s="1" t="s">
        <v>1</v>
      </c>
      <c r="F85" s="1">
        <v>33</v>
      </c>
      <c r="G85" s="5">
        <v>11</v>
      </c>
      <c r="H85" s="6">
        <f t="shared" si="5"/>
        <v>203.5</v>
      </c>
      <c r="I85" s="7"/>
      <c r="J85" s="8">
        <f t="shared" si="1"/>
        <v>0</v>
      </c>
      <c r="K85" s="9"/>
      <c r="L85" s="1"/>
      <c r="M85" s="1"/>
      <c r="N85" s="1"/>
      <c r="O85" s="1"/>
    </row>
    <row r="86" spans="1:15" x14ac:dyDescent="0.3">
      <c r="A86" s="21">
        <v>46041</v>
      </c>
      <c r="B86">
        <v>7511</v>
      </c>
      <c r="C86">
        <v>1</v>
      </c>
      <c r="D86" t="s">
        <v>0</v>
      </c>
      <c r="E86" t="s">
        <v>14</v>
      </c>
      <c r="F86">
        <v>99</v>
      </c>
      <c r="G86" s="23">
        <v>27</v>
      </c>
      <c r="H86" s="24">
        <f t="shared" si="5"/>
        <v>607.5</v>
      </c>
      <c r="I86" s="25"/>
      <c r="J86" s="15">
        <f t="shared" si="1"/>
        <v>0</v>
      </c>
      <c r="K86" s="2"/>
    </row>
    <row r="87" spans="1:15" x14ac:dyDescent="0.3">
      <c r="A87" s="21">
        <v>46041</v>
      </c>
      <c r="B87">
        <v>7512</v>
      </c>
      <c r="C87">
        <v>1</v>
      </c>
      <c r="D87" t="s">
        <v>0</v>
      </c>
      <c r="E87" t="s">
        <v>1</v>
      </c>
      <c r="F87">
        <v>102</v>
      </c>
      <c r="G87" s="23">
        <v>0</v>
      </c>
      <c r="H87" s="24">
        <f t="shared" si="5"/>
        <v>612</v>
      </c>
      <c r="I87" s="25"/>
      <c r="J87" s="15">
        <f t="shared" si="1"/>
        <v>0</v>
      </c>
      <c r="K87" s="2"/>
    </row>
    <row r="88" spans="1:15" x14ac:dyDescent="0.3">
      <c r="A88" s="21">
        <v>46041</v>
      </c>
      <c r="B88">
        <v>7513</v>
      </c>
      <c r="C88">
        <v>1</v>
      </c>
      <c r="D88" t="s">
        <v>16</v>
      </c>
      <c r="E88" t="s">
        <v>14</v>
      </c>
      <c r="F88">
        <v>132</v>
      </c>
      <c r="G88" s="23">
        <v>38</v>
      </c>
      <c r="H88" s="24">
        <f t="shared" si="5"/>
        <v>811</v>
      </c>
      <c r="I88" s="25"/>
      <c r="J88" s="15">
        <f t="shared" si="1"/>
        <v>0</v>
      </c>
      <c r="K88" s="2"/>
    </row>
    <row r="89" spans="1:15" x14ac:dyDescent="0.3">
      <c r="A89" s="21">
        <v>46041</v>
      </c>
      <c r="B89">
        <v>7514</v>
      </c>
      <c r="C89">
        <v>1</v>
      </c>
      <c r="D89" t="s">
        <v>23</v>
      </c>
      <c r="E89" t="s">
        <v>14</v>
      </c>
      <c r="F89">
        <v>33</v>
      </c>
      <c r="G89" s="23">
        <v>10</v>
      </c>
      <c r="H89" s="24">
        <f t="shared" si="5"/>
        <v>203</v>
      </c>
      <c r="I89" s="25"/>
      <c r="J89" s="15">
        <f t="shared" si="1"/>
        <v>0</v>
      </c>
      <c r="K89" s="2"/>
    </row>
    <row r="90" spans="1:15" x14ac:dyDescent="0.3">
      <c r="A90" s="21">
        <v>46041</v>
      </c>
      <c r="B90">
        <v>7515</v>
      </c>
      <c r="C90">
        <v>1</v>
      </c>
      <c r="D90" t="s">
        <v>28</v>
      </c>
      <c r="E90" t="s">
        <v>14</v>
      </c>
      <c r="F90">
        <v>66</v>
      </c>
      <c r="G90" s="23">
        <v>20</v>
      </c>
      <c r="H90" s="24">
        <f t="shared" si="5"/>
        <v>406</v>
      </c>
      <c r="I90" s="25"/>
      <c r="J90" s="15">
        <f t="shared" si="1"/>
        <v>0</v>
      </c>
      <c r="K90" s="2"/>
    </row>
    <row r="91" spans="1:15" x14ac:dyDescent="0.3">
      <c r="A91" s="21">
        <v>46041</v>
      </c>
      <c r="B91">
        <v>7516</v>
      </c>
      <c r="C91">
        <v>1</v>
      </c>
      <c r="D91" t="s">
        <v>22</v>
      </c>
      <c r="E91" t="s">
        <v>33</v>
      </c>
      <c r="F91">
        <v>124</v>
      </c>
      <c r="G91" s="23">
        <v>15</v>
      </c>
      <c r="H91" s="24">
        <f>+F91*6+G91*1</f>
        <v>759</v>
      </c>
      <c r="I91" s="25"/>
      <c r="J91" s="15">
        <f t="shared" si="1"/>
        <v>0</v>
      </c>
      <c r="K91" s="2"/>
    </row>
    <row r="92" spans="1:15" x14ac:dyDescent="0.3">
      <c r="A92" s="21">
        <v>46041</v>
      </c>
      <c r="B92">
        <v>7517</v>
      </c>
      <c r="C92">
        <v>1</v>
      </c>
      <c r="D92" t="s">
        <v>22</v>
      </c>
      <c r="E92" t="s">
        <v>1</v>
      </c>
      <c r="F92">
        <v>34</v>
      </c>
      <c r="G92" s="23">
        <v>0</v>
      </c>
      <c r="H92" s="24">
        <f t="shared" si="5"/>
        <v>204</v>
      </c>
      <c r="I92" s="25"/>
      <c r="J92" s="15">
        <f t="shared" si="1"/>
        <v>0</v>
      </c>
      <c r="K92" s="2"/>
    </row>
    <row r="93" spans="1:15" x14ac:dyDescent="0.3">
      <c r="A93" s="21">
        <v>46041</v>
      </c>
      <c r="B93">
        <v>7518</v>
      </c>
      <c r="C93">
        <v>1</v>
      </c>
      <c r="D93" t="s">
        <v>16</v>
      </c>
      <c r="E93" t="s">
        <v>14</v>
      </c>
      <c r="F93">
        <v>132</v>
      </c>
      <c r="G93" s="23">
        <v>28</v>
      </c>
      <c r="H93" s="24">
        <f t="shared" si="5"/>
        <v>806</v>
      </c>
      <c r="I93" s="25"/>
      <c r="J93" s="15">
        <f t="shared" si="1"/>
        <v>0</v>
      </c>
      <c r="K93" s="2"/>
    </row>
    <row r="94" spans="1:15" x14ac:dyDescent="0.3">
      <c r="A94" s="21">
        <v>46041</v>
      </c>
      <c r="B94">
        <v>7519</v>
      </c>
      <c r="C94">
        <v>1</v>
      </c>
      <c r="D94" t="s">
        <v>17</v>
      </c>
      <c r="E94" t="s">
        <v>1</v>
      </c>
      <c r="F94">
        <v>34</v>
      </c>
      <c r="G94" s="23">
        <v>0</v>
      </c>
      <c r="H94" s="24">
        <f t="shared" si="5"/>
        <v>204</v>
      </c>
      <c r="I94" s="25"/>
      <c r="J94" s="15">
        <f t="shared" si="1"/>
        <v>0</v>
      </c>
      <c r="K94" s="2"/>
    </row>
    <row r="95" spans="1:15" x14ac:dyDescent="0.3">
      <c r="A95" s="62">
        <v>46041</v>
      </c>
      <c r="B95" s="63">
        <v>8507</v>
      </c>
      <c r="C95" s="63">
        <v>1</v>
      </c>
      <c r="D95" s="63" t="s">
        <v>34</v>
      </c>
      <c r="E95" t="s">
        <v>8</v>
      </c>
      <c r="F95" s="63">
        <v>65</v>
      </c>
      <c r="G95" s="64">
        <v>6</v>
      </c>
      <c r="H95" s="65">
        <f t="shared" si="5"/>
        <v>393</v>
      </c>
      <c r="I95" s="66"/>
      <c r="J95" s="67">
        <f t="shared" si="1"/>
        <v>0</v>
      </c>
      <c r="K95" s="68">
        <f>+H95</f>
        <v>393</v>
      </c>
      <c r="L95" s="63"/>
      <c r="M95" s="63"/>
      <c r="N95" s="63"/>
      <c r="O95" s="63"/>
    </row>
    <row r="96" spans="1:15" x14ac:dyDescent="0.3">
      <c r="A96" s="21">
        <v>46042</v>
      </c>
      <c r="B96">
        <v>7520</v>
      </c>
      <c r="C96">
        <v>1</v>
      </c>
      <c r="D96" s="22" t="s">
        <v>7</v>
      </c>
      <c r="E96" t="s">
        <v>24</v>
      </c>
      <c r="F96">
        <v>125</v>
      </c>
      <c r="G96" s="23">
        <v>0</v>
      </c>
      <c r="H96" s="24">
        <f>+F96*5+G96*0.5</f>
        <v>625</v>
      </c>
      <c r="I96" s="25"/>
      <c r="J96" s="15">
        <f t="shared" si="1"/>
        <v>0</v>
      </c>
      <c r="K96" s="2"/>
    </row>
    <row r="97" spans="1:15" x14ac:dyDescent="0.3">
      <c r="A97" s="21">
        <v>46042</v>
      </c>
      <c r="B97">
        <v>7520</v>
      </c>
      <c r="C97">
        <v>2</v>
      </c>
      <c r="D97" s="22" t="s">
        <v>7</v>
      </c>
      <c r="E97" t="s">
        <v>8</v>
      </c>
      <c r="F97">
        <v>83</v>
      </c>
      <c r="G97" s="23">
        <v>0</v>
      </c>
      <c r="H97" s="24">
        <f>+F97*5+G97*0.5</f>
        <v>415</v>
      </c>
      <c r="I97" s="25"/>
      <c r="J97" s="15">
        <f t="shared" si="1"/>
        <v>0</v>
      </c>
      <c r="K97" s="2">
        <f>+H97+H96</f>
        <v>1040</v>
      </c>
    </row>
    <row r="98" spans="1:15" x14ac:dyDescent="0.3">
      <c r="A98" s="21">
        <v>46042</v>
      </c>
      <c r="B98">
        <v>7521</v>
      </c>
      <c r="C98">
        <v>1</v>
      </c>
      <c r="D98" t="s">
        <v>28</v>
      </c>
      <c r="E98" t="s">
        <v>1</v>
      </c>
      <c r="F98">
        <v>67</v>
      </c>
      <c r="G98" s="23">
        <v>9</v>
      </c>
      <c r="H98" s="24">
        <f t="shared" si="5"/>
        <v>406.5</v>
      </c>
      <c r="I98" s="25"/>
      <c r="J98" s="15">
        <f t="shared" si="1"/>
        <v>0</v>
      </c>
      <c r="K98" s="2">
        <f>SUM(H86:H102)-H95-H96-H97</f>
        <v>6029</v>
      </c>
    </row>
    <row r="99" spans="1:15" x14ac:dyDescent="0.3">
      <c r="A99" s="21">
        <v>46042</v>
      </c>
      <c r="B99">
        <v>7522</v>
      </c>
      <c r="C99">
        <v>1</v>
      </c>
      <c r="D99" t="s">
        <v>16</v>
      </c>
      <c r="E99" t="s">
        <v>14</v>
      </c>
      <c r="F99">
        <v>66</v>
      </c>
      <c r="G99" s="23">
        <v>16</v>
      </c>
      <c r="H99" s="24">
        <f t="shared" si="5"/>
        <v>404</v>
      </c>
      <c r="I99" s="25"/>
      <c r="J99" s="15">
        <f t="shared" si="1"/>
        <v>0</v>
      </c>
      <c r="K99" s="2"/>
    </row>
    <row r="100" spans="1:15" x14ac:dyDescent="0.3">
      <c r="A100" s="21">
        <v>46042</v>
      </c>
      <c r="B100">
        <v>7523</v>
      </c>
      <c r="C100">
        <v>1</v>
      </c>
      <c r="D100" t="s">
        <v>0</v>
      </c>
      <c r="E100" t="s">
        <v>1</v>
      </c>
      <c r="F100">
        <v>33</v>
      </c>
      <c r="G100" s="23">
        <v>10</v>
      </c>
      <c r="H100" s="24">
        <f t="shared" si="5"/>
        <v>203</v>
      </c>
      <c r="I100" s="25"/>
      <c r="J100" s="15">
        <f t="shared" si="1"/>
        <v>0</v>
      </c>
      <c r="K100" s="2"/>
    </row>
    <row r="101" spans="1:15" x14ac:dyDescent="0.3">
      <c r="A101" s="21">
        <v>46042</v>
      </c>
      <c r="B101">
        <v>7524</v>
      </c>
      <c r="C101">
        <v>1</v>
      </c>
      <c r="D101" t="s">
        <v>23</v>
      </c>
      <c r="E101" t="s">
        <v>14</v>
      </c>
      <c r="F101">
        <v>33</v>
      </c>
      <c r="G101" s="23">
        <v>10</v>
      </c>
      <c r="H101" s="24">
        <f t="shared" si="5"/>
        <v>203</v>
      </c>
      <c r="I101" s="25"/>
      <c r="J101" s="15">
        <f t="shared" si="1"/>
        <v>0</v>
      </c>
      <c r="K101" s="2"/>
    </row>
    <row r="102" spans="1:15" x14ac:dyDescent="0.3">
      <c r="A102" s="4">
        <v>46042</v>
      </c>
      <c r="B102" s="1">
        <v>7525</v>
      </c>
      <c r="C102" s="1">
        <v>1</v>
      </c>
      <c r="D102" s="1" t="s">
        <v>11</v>
      </c>
      <c r="E102" s="1" t="s">
        <v>12</v>
      </c>
      <c r="F102" s="1">
        <v>33</v>
      </c>
      <c r="G102" s="5">
        <v>2</v>
      </c>
      <c r="H102" s="6">
        <f>+F102*6+G102*1</f>
        <v>200</v>
      </c>
      <c r="I102" s="7"/>
      <c r="J102" s="8">
        <f t="shared" si="1"/>
        <v>0</v>
      </c>
      <c r="K102" s="9"/>
      <c r="L102" s="1"/>
      <c r="M102" s="1"/>
      <c r="N102" s="1"/>
      <c r="O102" s="1"/>
    </row>
    <row r="103" spans="1:15" x14ac:dyDescent="0.3">
      <c r="A103" s="21">
        <v>46043</v>
      </c>
      <c r="B103">
        <v>7526</v>
      </c>
      <c r="C103">
        <v>1</v>
      </c>
      <c r="D103" s="22" t="s">
        <v>7</v>
      </c>
      <c r="E103" t="s">
        <v>24</v>
      </c>
      <c r="F103">
        <v>201</v>
      </c>
      <c r="G103" s="23">
        <v>0</v>
      </c>
      <c r="H103" s="24">
        <f>+F103*5+G103*0.5</f>
        <v>1005</v>
      </c>
      <c r="I103" s="25"/>
      <c r="J103" s="15">
        <f t="shared" si="1"/>
        <v>0</v>
      </c>
      <c r="K103" s="2"/>
    </row>
    <row r="104" spans="1:15" x14ac:dyDescent="0.3">
      <c r="A104" s="21">
        <v>46043</v>
      </c>
      <c r="B104">
        <v>7526</v>
      </c>
      <c r="C104">
        <v>2</v>
      </c>
      <c r="D104" s="22" t="s">
        <v>7</v>
      </c>
      <c r="E104" t="s">
        <v>8</v>
      </c>
      <c r="F104">
        <v>164</v>
      </c>
      <c r="G104" s="23">
        <v>0</v>
      </c>
      <c r="H104" s="24">
        <f>+F104*5+G104*0.5</f>
        <v>820</v>
      </c>
      <c r="I104" s="25"/>
      <c r="J104" s="15">
        <f t="shared" si="1"/>
        <v>0</v>
      </c>
      <c r="K104" s="2"/>
    </row>
    <row r="105" spans="1:15" x14ac:dyDescent="0.3">
      <c r="A105" s="21">
        <v>46043</v>
      </c>
      <c r="B105">
        <v>7526</v>
      </c>
      <c r="C105">
        <v>3</v>
      </c>
      <c r="D105" s="22" t="s">
        <v>7</v>
      </c>
      <c r="E105" t="s">
        <v>9</v>
      </c>
      <c r="F105">
        <v>25</v>
      </c>
      <c r="G105" s="23">
        <v>0</v>
      </c>
      <c r="H105" s="24">
        <f>+F105*7+G105*0.5</f>
        <v>175</v>
      </c>
      <c r="I105" s="25"/>
      <c r="J105" s="15">
        <f t="shared" si="1"/>
        <v>0</v>
      </c>
      <c r="K105" s="2"/>
    </row>
    <row r="106" spans="1:15" x14ac:dyDescent="0.3">
      <c r="A106" s="21">
        <v>46043</v>
      </c>
      <c r="B106">
        <v>7527</v>
      </c>
      <c r="C106">
        <v>1</v>
      </c>
      <c r="D106" s="22" t="s">
        <v>7</v>
      </c>
      <c r="E106" t="s">
        <v>24</v>
      </c>
      <c r="F106">
        <v>86</v>
      </c>
      <c r="G106" s="23">
        <v>0</v>
      </c>
      <c r="H106" s="24">
        <f>+F106*5+G106*0.5</f>
        <v>430</v>
      </c>
      <c r="I106" s="25"/>
      <c r="J106" s="15">
        <f t="shared" si="1"/>
        <v>0</v>
      </c>
      <c r="K106" s="2"/>
    </row>
    <row r="107" spans="1:15" x14ac:dyDescent="0.3">
      <c r="A107" s="21">
        <v>46043</v>
      </c>
      <c r="B107">
        <v>7527</v>
      </c>
      <c r="C107">
        <v>2</v>
      </c>
      <c r="D107" s="22" t="s">
        <v>7</v>
      </c>
      <c r="E107" t="s">
        <v>8</v>
      </c>
      <c r="F107">
        <v>116</v>
      </c>
      <c r="G107" s="23">
        <v>0</v>
      </c>
      <c r="H107" s="24">
        <f>+F107*5+G107*0.5</f>
        <v>580</v>
      </c>
      <c r="I107" s="25"/>
      <c r="J107" s="15">
        <f t="shared" si="1"/>
        <v>0</v>
      </c>
      <c r="K107" s="2"/>
    </row>
    <row r="108" spans="1:15" x14ac:dyDescent="0.3">
      <c r="A108" s="21">
        <v>46043</v>
      </c>
      <c r="B108">
        <v>7528</v>
      </c>
      <c r="C108">
        <v>1</v>
      </c>
      <c r="D108" s="22" t="s">
        <v>7</v>
      </c>
      <c r="E108" t="s">
        <v>8</v>
      </c>
      <c r="F108">
        <v>206</v>
      </c>
      <c r="G108" s="23">
        <v>0</v>
      </c>
      <c r="H108" s="24">
        <f t="shared" ref="H108:H110" si="8">+F108*5+G108*0.5</f>
        <v>1030</v>
      </c>
      <c r="I108" s="25"/>
      <c r="J108" s="15">
        <f t="shared" si="1"/>
        <v>0</v>
      </c>
      <c r="K108" s="2"/>
    </row>
    <row r="109" spans="1:15" x14ac:dyDescent="0.3">
      <c r="A109" s="21">
        <v>46043</v>
      </c>
      <c r="B109">
        <v>7528</v>
      </c>
      <c r="C109">
        <v>2</v>
      </c>
      <c r="D109" s="22" t="s">
        <v>7</v>
      </c>
      <c r="E109" t="s">
        <v>24</v>
      </c>
      <c r="F109">
        <v>119</v>
      </c>
      <c r="G109" s="23">
        <v>0</v>
      </c>
      <c r="H109" s="24">
        <f t="shared" si="8"/>
        <v>595</v>
      </c>
      <c r="I109" s="25"/>
      <c r="J109" s="15">
        <f t="shared" si="1"/>
        <v>0</v>
      </c>
      <c r="K109" s="2"/>
    </row>
    <row r="110" spans="1:15" x14ac:dyDescent="0.3">
      <c r="A110" s="21">
        <v>46043</v>
      </c>
      <c r="B110">
        <v>7528</v>
      </c>
      <c r="C110">
        <v>3</v>
      </c>
      <c r="D110" s="22" t="s">
        <v>7</v>
      </c>
      <c r="E110" t="s">
        <v>4</v>
      </c>
      <c r="F110">
        <v>36</v>
      </c>
      <c r="G110" s="23">
        <v>0</v>
      </c>
      <c r="H110" s="24">
        <f t="shared" si="8"/>
        <v>180</v>
      </c>
      <c r="I110" s="25"/>
      <c r="J110" s="15">
        <f t="shared" si="1"/>
        <v>0</v>
      </c>
      <c r="K110" s="2"/>
    </row>
    <row r="111" spans="1:15" x14ac:dyDescent="0.3">
      <c r="A111" s="21">
        <v>46043</v>
      </c>
      <c r="B111">
        <v>7528</v>
      </c>
      <c r="C111">
        <v>4</v>
      </c>
      <c r="D111" s="22" t="s">
        <v>7</v>
      </c>
      <c r="E111" t="s">
        <v>9</v>
      </c>
      <c r="F111">
        <v>55</v>
      </c>
      <c r="G111" s="23">
        <v>0</v>
      </c>
      <c r="H111" s="24">
        <f>+F111*7+G111*0.5</f>
        <v>385</v>
      </c>
      <c r="I111" s="25"/>
      <c r="J111" s="15">
        <f t="shared" si="1"/>
        <v>0</v>
      </c>
      <c r="K111" s="2"/>
    </row>
    <row r="112" spans="1:15" x14ac:dyDescent="0.3">
      <c r="A112" s="21">
        <v>46043</v>
      </c>
      <c r="B112">
        <v>7529</v>
      </c>
      <c r="C112">
        <v>1</v>
      </c>
      <c r="D112" s="22" t="s">
        <v>7</v>
      </c>
      <c r="E112" t="s">
        <v>8</v>
      </c>
      <c r="F112">
        <v>168</v>
      </c>
      <c r="G112" s="23">
        <v>0</v>
      </c>
      <c r="H112" s="24">
        <f>+F112*5+G112*0.5</f>
        <v>840</v>
      </c>
      <c r="I112" s="25"/>
      <c r="J112" s="15">
        <f t="shared" si="1"/>
        <v>0</v>
      </c>
      <c r="K112" s="2"/>
    </row>
    <row r="113" spans="1:15" x14ac:dyDescent="0.3">
      <c r="A113" s="21">
        <v>46043</v>
      </c>
      <c r="B113">
        <v>7529</v>
      </c>
      <c r="C113">
        <v>2</v>
      </c>
      <c r="D113" s="22" t="s">
        <v>7</v>
      </c>
      <c r="E113" t="s">
        <v>24</v>
      </c>
      <c r="F113">
        <v>78</v>
      </c>
      <c r="G113" s="23">
        <v>0</v>
      </c>
      <c r="H113" s="24">
        <f>+F113*5+G113*0.5</f>
        <v>390</v>
      </c>
      <c r="I113" s="25"/>
      <c r="J113" s="15">
        <f t="shared" si="1"/>
        <v>0</v>
      </c>
      <c r="K113" s="2"/>
    </row>
    <row r="114" spans="1:15" x14ac:dyDescent="0.3">
      <c r="A114" s="21">
        <v>46043</v>
      </c>
      <c r="B114">
        <v>7529</v>
      </c>
      <c r="C114">
        <v>3</v>
      </c>
      <c r="D114" s="22" t="s">
        <v>7</v>
      </c>
      <c r="E114" t="s">
        <v>10</v>
      </c>
      <c r="F114">
        <v>17</v>
      </c>
      <c r="G114" s="23">
        <v>0</v>
      </c>
      <c r="H114" s="24">
        <f>+F114*7+G114*0.5</f>
        <v>119</v>
      </c>
      <c r="I114" s="25"/>
      <c r="J114" s="15">
        <f t="shared" si="1"/>
        <v>0</v>
      </c>
      <c r="K114" s="2"/>
    </row>
    <row r="115" spans="1:15" x14ac:dyDescent="0.3">
      <c r="A115" s="21">
        <v>46043</v>
      </c>
      <c r="B115">
        <v>7529</v>
      </c>
      <c r="C115">
        <v>4</v>
      </c>
      <c r="D115" s="22" t="s">
        <v>7</v>
      </c>
      <c r="E115" t="s">
        <v>4</v>
      </c>
      <c r="F115">
        <v>52</v>
      </c>
      <c r="G115" s="23">
        <v>0</v>
      </c>
      <c r="H115" s="24">
        <f>+F115*5+G115*0.5</f>
        <v>260</v>
      </c>
      <c r="I115" s="25"/>
      <c r="J115" s="15">
        <f t="shared" si="1"/>
        <v>0</v>
      </c>
      <c r="K115" s="2"/>
    </row>
    <row r="116" spans="1:15" x14ac:dyDescent="0.3">
      <c r="A116" s="21">
        <v>46043</v>
      </c>
      <c r="B116">
        <v>7529</v>
      </c>
      <c r="C116">
        <v>5</v>
      </c>
      <c r="D116" s="22" t="s">
        <v>7</v>
      </c>
      <c r="E116" t="s">
        <v>9</v>
      </c>
      <c r="F116">
        <v>47</v>
      </c>
      <c r="G116" s="23">
        <v>0</v>
      </c>
      <c r="H116" s="24">
        <f>+F116*7+G116*0.5</f>
        <v>329</v>
      </c>
      <c r="I116" s="25"/>
      <c r="J116" s="15">
        <f t="shared" si="1"/>
        <v>0</v>
      </c>
      <c r="K116" s="2">
        <f>SUM(H103:H116)</f>
        <v>7138</v>
      </c>
    </row>
    <row r="117" spans="1:15" x14ac:dyDescent="0.3">
      <c r="A117" s="4">
        <v>46043</v>
      </c>
      <c r="B117" s="1">
        <v>7530</v>
      </c>
      <c r="C117" s="1">
        <v>1</v>
      </c>
      <c r="D117" s="1" t="s">
        <v>35</v>
      </c>
      <c r="E117" s="55" t="s">
        <v>20</v>
      </c>
      <c r="F117" s="1">
        <v>198</v>
      </c>
      <c r="G117" s="5">
        <v>9</v>
      </c>
      <c r="H117" s="6">
        <f>+F117*6+G117*1</f>
        <v>1197</v>
      </c>
      <c r="I117" s="7"/>
      <c r="J117" s="8">
        <f t="shared" si="1"/>
        <v>0</v>
      </c>
      <c r="K117" s="9">
        <f>+H117</f>
        <v>1197</v>
      </c>
      <c r="L117" s="1"/>
      <c r="M117" s="1"/>
      <c r="N117" s="1"/>
      <c r="O117" s="1"/>
    </row>
    <row r="118" spans="1:15" x14ac:dyDescent="0.3">
      <c r="A118" s="21">
        <v>46044</v>
      </c>
      <c r="B118">
        <v>7531</v>
      </c>
      <c r="C118">
        <v>1</v>
      </c>
      <c r="D118" t="s">
        <v>15</v>
      </c>
      <c r="E118" t="s">
        <v>14</v>
      </c>
      <c r="F118">
        <v>199</v>
      </c>
      <c r="G118" s="23">
        <v>34</v>
      </c>
      <c r="H118" s="24">
        <f t="shared" ref="H118:H170" si="9">+F118*6+G118*0.5</f>
        <v>1211</v>
      </c>
      <c r="I118" s="25"/>
      <c r="J118" s="15">
        <f t="shared" si="1"/>
        <v>0</v>
      </c>
      <c r="K118" s="2"/>
    </row>
    <row r="119" spans="1:15" x14ac:dyDescent="0.3">
      <c r="A119" s="21">
        <v>46044</v>
      </c>
      <c r="B119">
        <v>7532</v>
      </c>
      <c r="C119">
        <v>1</v>
      </c>
      <c r="D119" t="s">
        <v>16</v>
      </c>
      <c r="E119" t="s">
        <v>14</v>
      </c>
      <c r="F119">
        <v>67</v>
      </c>
      <c r="G119" s="23">
        <v>6</v>
      </c>
      <c r="H119" s="24">
        <f t="shared" si="9"/>
        <v>405</v>
      </c>
      <c r="I119" s="25"/>
      <c r="J119" s="15">
        <f t="shared" si="1"/>
        <v>0</v>
      </c>
      <c r="K119" s="2"/>
    </row>
    <row r="120" spans="1:15" x14ac:dyDescent="0.3">
      <c r="A120" s="21">
        <v>46044</v>
      </c>
      <c r="B120">
        <v>7533</v>
      </c>
      <c r="C120">
        <v>1</v>
      </c>
      <c r="D120" t="s">
        <v>17</v>
      </c>
      <c r="E120" t="s">
        <v>14</v>
      </c>
      <c r="F120">
        <v>99</v>
      </c>
      <c r="G120" s="23">
        <v>18</v>
      </c>
      <c r="H120" s="24">
        <f t="shared" si="9"/>
        <v>603</v>
      </c>
      <c r="I120" s="25"/>
      <c r="J120" s="15">
        <f t="shared" si="1"/>
        <v>0</v>
      </c>
      <c r="K120" s="2"/>
    </row>
    <row r="121" spans="1:15" x14ac:dyDescent="0.3">
      <c r="A121" s="21">
        <v>46044</v>
      </c>
      <c r="B121">
        <v>7534</v>
      </c>
      <c r="C121">
        <v>1</v>
      </c>
      <c r="D121" t="s">
        <v>28</v>
      </c>
      <c r="E121" t="s">
        <v>1</v>
      </c>
      <c r="F121">
        <v>33</v>
      </c>
      <c r="G121" s="23">
        <v>11</v>
      </c>
      <c r="H121" s="24">
        <f t="shared" si="9"/>
        <v>203.5</v>
      </c>
      <c r="I121" s="25"/>
      <c r="J121" s="15">
        <f t="shared" si="1"/>
        <v>0</v>
      </c>
      <c r="K121" s="2"/>
    </row>
    <row r="122" spans="1:15" x14ac:dyDescent="0.3">
      <c r="A122" s="21">
        <v>46044</v>
      </c>
      <c r="B122">
        <v>7535</v>
      </c>
      <c r="C122">
        <v>1</v>
      </c>
      <c r="D122" s="22" t="s">
        <v>7</v>
      </c>
      <c r="E122" t="s">
        <v>8</v>
      </c>
      <c r="F122">
        <v>63</v>
      </c>
      <c r="G122" s="23">
        <v>0</v>
      </c>
      <c r="H122" s="24">
        <f>+F122*5+G122*0.5</f>
        <v>315</v>
      </c>
      <c r="I122" s="25"/>
      <c r="J122" s="15">
        <f t="shared" si="1"/>
        <v>0</v>
      </c>
      <c r="K122" s="2"/>
    </row>
    <row r="123" spans="1:15" x14ac:dyDescent="0.3">
      <c r="A123" s="21">
        <v>46044</v>
      </c>
      <c r="B123">
        <v>7535</v>
      </c>
      <c r="C123">
        <v>2</v>
      </c>
      <c r="D123" s="22" t="s">
        <v>7</v>
      </c>
      <c r="E123" t="s">
        <v>24</v>
      </c>
      <c r="F123">
        <v>41</v>
      </c>
      <c r="G123" s="23">
        <v>0</v>
      </c>
      <c r="H123" s="24">
        <f t="shared" ref="H123:H124" si="10">+F123*5+G123*0.5</f>
        <v>205</v>
      </c>
      <c r="I123" s="25"/>
      <c r="J123" s="15">
        <f t="shared" si="1"/>
        <v>0</v>
      </c>
      <c r="K123" s="2"/>
    </row>
    <row r="124" spans="1:15" x14ac:dyDescent="0.3">
      <c r="A124" s="21">
        <v>46044</v>
      </c>
      <c r="B124">
        <v>7535</v>
      </c>
      <c r="C124">
        <v>3</v>
      </c>
      <c r="D124" s="22" t="s">
        <v>7</v>
      </c>
      <c r="E124" t="s">
        <v>4</v>
      </c>
      <c r="F124">
        <v>21</v>
      </c>
      <c r="G124" s="23">
        <v>0</v>
      </c>
      <c r="H124" s="24">
        <f t="shared" si="10"/>
        <v>105</v>
      </c>
      <c r="I124" s="25"/>
      <c r="J124" s="15">
        <f t="shared" si="1"/>
        <v>0</v>
      </c>
      <c r="K124" s="2"/>
    </row>
    <row r="125" spans="1:15" x14ac:dyDescent="0.3">
      <c r="A125" s="21">
        <v>46044</v>
      </c>
      <c r="B125">
        <v>7535</v>
      </c>
      <c r="C125">
        <v>4</v>
      </c>
      <c r="D125" s="22" t="s">
        <v>7</v>
      </c>
      <c r="E125" t="s">
        <v>9</v>
      </c>
      <c r="F125">
        <v>56</v>
      </c>
      <c r="G125" s="23">
        <v>0</v>
      </c>
      <c r="H125" s="24">
        <f>+F125*7+G125*0.5</f>
        <v>392</v>
      </c>
      <c r="I125" s="25"/>
      <c r="J125" s="15">
        <f t="shared" si="1"/>
        <v>0</v>
      </c>
      <c r="K125" s="2">
        <f>+H125+H124+H123+H122</f>
        <v>1017</v>
      </c>
    </row>
    <row r="126" spans="1:15" x14ac:dyDescent="0.3">
      <c r="A126" s="21">
        <v>46044</v>
      </c>
      <c r="B126">
        <v>7536</v>
      </c>
      <c r="C126">
        <v>1</v>
      </c>
      <c r="D126" t="s">
        <v>36</v>
      </c>
      <c r="E126" t="s">
        <v>14</v>
      </c>
      <c r="F126">
        <v>66</v>
      </c>
      <c r="G126" s="23">
        <v>21</v>
      </c>
      <c r="H126" s="24">
        <f t="shared" si="9"/>
        <v>406.5</v>
      </c>
      <c r="I126" s="25"/>
      <c r="J126" s="15">
        <f t="shared" si="1"/>
        <v>0</v>
      </c>
      <c r="K126" s="2"/>
    </row>
    <row r="127" spans="1:15" x14ac:dyDescent="0.3">
      <c r="A127" s="21">
        <v>46044</v>
      </c>
      <c r="B127">
        <v>7537</v>
      </c>
      <c r="C127">
        <v>1</v>
      </c>
      <c r="D127" t="s">
        <v>27</v>
      </c>
      <c r="E127" t="s">
        <v>14</v>
      </c>
      <c r="F127">
        <v>66</v>
      </c>
      <c r="G127" s="23">
        <v>6</v>
      </c>
      <c r="H127" s="24">
        <f t="shared" si="9"/>
        <v>399</v>
      </c>
      <c r="I127" s="25"/>
      <c r="J127" s="15">
        <f t="shared" si="1"/>
        <v>0</v>
      </c>
      <c r="K127" s="2"/>
    </row>
    <row r="128" spans="1:15" x14ac:dyDescent="0.3">
      <c r="A128" s="21">
        <v>46044</v>
      </c>
      <c r="B128">
        <v>7538</v>
      </c>
      <c r="C128">
        <v>1</v>
      </c>
      <c r="D128" t="s">
        <v>25</v>
      </c>
      <c r="E128" t="s">
        <v>1</v>
      </c>
      <c r="F128">
        <v>33</v>
      </c>
      <c r="G128" s="23">
        <v>3</v>
      </c>
      <c r="H128" s="24">
        <f t="shared" si="9"/>
        <v>199.5</v>
      </c>
      <c r="I128" s="25"/>
      <c r="J128" s="15">
        <f t="shared" si="1"/>
        <v>0</v>
      </c>
      <c r="K128" s="2"/>
    </row>
    <row r="129" spans="1:15" x14ac:dyDescent="0.3">
      <c r="A129" s="21">
        <v>46044</v>
      </c>
      <c r="B129">
        <v>7539</v>
      </c>
      <c r="C129">
        <v>1</v>
      </c>
      <c r="D129" t="s">
        <v>37</v>
      </c>
      <c r="E129" t="s">
        <v>14</v>
      </c>
      <c r="F129">
        <v>33</v>
      </c>
      <c r="G129" s="23">
        <v>8</v>
      </c>
      <c r="H129" s="24">
        <f t="shared" si="9"/>
        <v>202</v>
      </c>
      <c r="I129" s="25"/>
      <c r="J129" s="15">
        <f t="shared" si="1"/>
        <v>0</v>
      </c>
      <c r="K129" s="2"/>
    </row>
    <row r="130" spans="1:15" x14ac:dyDescent="0.3">
      <c r="A130" s="21">
        <v>46044</v>
      </c>
      <c r="B130">
        <v>7540</v>
      </c>
      <c r="C130">
        <v>1</v>
      </c>
      <c r="D130" t="s">
        <v>38</v>
      </c>
      <c r="E130" t="s">
        <v>1</v>
      </c>
      <c r="F130">
        <v>33</v>
      </c>
      <c r="G130" s="23">
        <v>11</v>
      </c>
      <c r="H130" s="24">
        <f t="shared" si="9"/>
        <v>203.5</v>
      </c>
      <c r="I130" s="25"/>
      <c r="J130" s="15">
        <f t="shared" si="1"/>
        <v>0</v>
      </c>
      <c r="K130" s="2"/>
    </row>
    <row r="131" spans="1:15" x14ac:dyDescent="0.3">
      <c r="A131" s="4">
        <v>46044</v>
      </c>
      <c r="B131" s="1">
        <v>7541</v>
      </c>
      <c r="C131" s="1">
        <v>1</v>
      </c>
      <c r="D131" s="1" t="s">
        <v>39</v>
      </c>
      <c r="E131" s="1" t="s">
        <v>1</v>
      </c>
      <c r="F131" s="1">
        <v>33</v>
      </c>
      <c r="G131" s="5">
        <v>11</v>
      </c>
      <c r="H131" s="6">
        <f t="shared" si="9"/>
        <v>203.5</v>
      </c>
      <c r="I131" s="7"/>
      <c r="J131" s="8">
        <f t="shared" si="1"/>
        <v>0</v>
      </c>
      <c r="K131" s="9">
        <f>SUM(H118:H131)-H122-H123-H124-H125</f>
        <v>4036.5</v>
      </c>
      <c r="L131" s="1"/>
      <c r="M131" s="1"/>
      <c r="N131" s="1"/>
      <c r="O131" s="1"/>
    </row>
    <row r="132" spans="1:15" x14ac:dyDescent="0.3">
      <c r="A132" s="21">
        <v>46045</v>
      </c>
      <c r="B132">
        <v>7542</v>
      </c>
      <c r="C132">
        <v>1</v>
      </c>
      <c r="D132" t="s">
        <v>22</v>
      </c>
      <c r="E132" t="s">
        <v>33</v>
      </c>
      <c r="F132">
        <v>87</v>
      </c>
      <c r="G132" s="23">
        <v>7</v>
      </c>
      <c r="H132" s="24">
        <f>+F132*6+G132*1</f>
        <v>529</v>
      </c>
      <c r="I132" s="25"/>
      <c r="J132" s="15">
        <f t="shared" si="1"/>
        <v>0</v>
      </c>
      <c r="K132" s="2"/>
    </row>
    <row r="133" spans="1:15" x14ac:dyDescent="0.3">
      <c r="A133" s="21">
        <v>46045</v>
      </c>
      <c r="B133">
        <v>7543</v>
      </c>
      <c r="C133">
        <v>1</v>
      </c>
      <c r="D133" t="s">
        <v>22</v>
      </c>
      <c r="E133" t="s">
        <v>1</v>
      </c>
      <c r="F133">
        <v>67</v>
      </c>
      <c r="G133" s="23">
        <v>10</v>
      </c>
      <c r="H133" s="24">
        <f t="shared" si="9"/>
        <v>407</v>
      </c>
      <c r="I133" s="25"/>
      <c r="J133" s="15">
        <f t="shared" si="1"/>
        <v>0</v>
      </c>
      <c r="K133" s="2"/>
    </row>
    <row r="134" spans="1:15" x14ac:dyDescent="0.3">
      <c r="A134" s="21">
        <v>46045</v>
      </c>
      <c r="B134">
        <v>7544</v>
      </c>
      <c r="C134">
        <v>1</v>
      </c>
      <c r="D134" t="s">
        <v>27</v>
      </c>
      <c r="E134" t="s">
        <v>14</v>
      </c>
      <c r="F134">
        <v>33</v>
      </c>
      <c r="G134" s="23">
        <v>10</v>
      </c>
      <c r="H134" s="24">
        <f t="shared" si="9"/>
        <v>203</v>
      </c>
      <c r="I134" s="25"/>
      <c r="J134" s="15">
        <f t="shared" si="1"/>
        <v>0</v>
      </c>
      <c r="K134" s="2"/>
    </row>
    <row r="135" spans="1:15" x14ac:dyDescent="0.3">
      <c r="A135" s="21">
        <v>46045</v>
      </c>
      <c r="B135">
        <v>7545</v>
      </c>
      <c r="C135">
        <v>1</v>
      </c>
      <c r="D135" t="s">
        <v>16</v>
      </c>
      <c r="E135" t="s">
        <v>14</v>
      </c>
      <c r="F135">
        <v>97</v>
      </c>
      <c r="G135" s="23">
        <v>23</v>
      </c>
      <c r="H135" s="24">
        <f t="shared" si="9"/>
        <v>593.5</v>
      </c>
      <c r="I135" s="25"/>
      <c r="J135" s="15">
        <f t="shared" si="1"/>
        <v>0</v>
      </c>
      <c r="K135" s="2"/>
    </row>
    <row r="136" spans="1:15" x14ac:dyDescent="0.3">
      <c r="A136" s="21">
        <v>46045</v>
      </c>
      <c r="B136">
        <v>7546</v>
      </c>
      <c r="C136">
        <v>1</v>
      </c>
      <c r="D136" t="s">
        <v>16</v>
      </c>
      <c r="E136" t="s">
        <v>1</v>
      </c>
      <c r="F136">
        <v>33</v>
      </c>
      <c r="G136" s="23">
        <v>8</v>
      </c>
      <c r="H136" s="24">
        <f t="shared" si="9"/>
        <v>202</v>
      </c>
      <c r="I136" s="25"/>
      <c r="J136" s="15">
        <f t="shared" si="1"/>
        <v>0</v>
      </c>
      <c r="K136" s="2"/>
    </row>
    <row r="137" spans="1:15" x14ac:dyDescent="0.3">
      <c r="A137" s="21">
        <v>46045</v>
      </c>
      <c r="B137">
        <v>7547</v>
      </c>
      <c r="C137">
        <v>1</v>
      </c>
      <c r="D137" s="22" t="s">
        <v>18</v>
      </c>
      <c r="E137" s="28" t="s">
        <v>20</v>
      </c>
      <c r="F137">
        <v>65</v>
      </c>
      <c r="G137" s="23">
        <v>4</v>
      </c>
      <c r="H137" s="24">
        <f>+F137*9+G137*1</f>
        <v>589</v>
      </c>
      <c r="I137" s="25"/>
      <c r="J137" s="15">
        <f t="shared" si="1"/>
        <v>0</v>
      </c>
      <c r="K137" s="2"/>
    </row>
    <row r="138" spans="1:15" x14ac:dyDescent="0.3">
      <c r="A138" s="21">
        <v>46046</v>
      </c>
      <c r="B138">
        <v>7548</v>
      </c>
      <c r="C138">
        <v>1</v>
      </c>
      <c r="D138" s="22" t="s">
        <v>7</v>
      </c>
      <c r="E138" t="s">
        <v>8</v>
      </c>
      <c r="F138">
        <v>119</v>
      </c>
      <c r="G138" s="23">
        <v>0</v>
      </c>
      <c r="H138" s="24">
        <f>+F138*5+G138*1</f>
        <v>595</v>
      </c>
      <c r="I138" s="25"/>
      <c r="J138" s="15">
        <f t="shared" si="1"/>
        <v>0</v>
      </c>
      <c r="K138" s="2">
        <f>+H137+H138</f>
        <v>1184</v>
      </c>
    </row>
    <row r="139" spans="1:15" x14ac:dyDescent="0.3">
      <c r="A139" s="21">
        <v>46048</v>
      </c>
      <c r="B139">
        <v>7549</v>
      </c>
      <c r="C139">
        <v>1</v>
      </c>
      <c r="D139" t="s">
        <v>16</v>
      </c>
      <c r="E139" t="s">
        <v>14</v>
      </c>
      <c r="F139">
        <v>163</v>
      </c>
      <c r="G139" s="23">
        <v>29</v>
      </c>
      <c r="H139" s="69">
        <f t="shared" ref="H139:H203" si="11">+F139*6+G139*0.5</f>
        <v>992.5</v>
      </c>
      <c r="I139" s="25"/>
      <c r="J139" s="15">
        <f t="shared" si="1"/>
        <v>0</v>
      </c>
      <c r="K139" s="2"/>
    </row>
    <row r="140" spans="1:15" x14ac:dyDescent="0.3">
      <c r="A140" s="21">
        <v>46048</v>
      </c>
      <c r="B140">
        <v>7550</v>
      </c>
      <c r="C140">
        <v>1</v>
      </c>
      <c r="D140" t="s">
        <v>16</v>
      </c>
      <c r="E140" t="s">
        <v>1</v>
      </c>
      <c r="F140">
        <v>33</v>
      </c>
      <c r="G140" s="23">
        <v>3</v>
      </c>
      <c r="H140" s="69">
        <f t="shared" si="11"/>
        <v>199.5</v>
      </c>
      <c r="I140" s="25"/>
      <c r="J140" s="15">
        <f t="shared" si="1"/>
        <v>0</v>
      </c>
      <c r="K140" s="2"/>
    </row>
    <row r="141" spans="1:15" x14ac:dyDescent="0.3">
      <c r="A141" s="70">
        <v>46048</v>
      </c>
      <c r="B141" s="71">
        <v>7551</v>
      </c>
      <c r="C141" s="71">
        <v>1</v>
      </c>
      <c r="D141" s="71" t="s">
        <v>17</v>
      </c>
      <c r="E141" s="71" t="s">
        <v>1</v>
      </c>
      <c r="F141" s="71">
        <v>68</v>
      </c>
      <c r="G141" s="72">
        <v>0</v>
      </c>
      <c r="H141" s="73">
        <f t="shared" si="11"/>
        <v>408</v>
      </c>
      <c r="I141" s="25"/>
      <c r="J141" s="15">
        <f t="shared" si="1"/>
        <v>0</v>
      </c>
      <c r="K141" s="2"/>
    </row>
    <row r="142" spans="1:15" x14ac:dyDescent="0.3">
      <c r="A142" s="70">
        <v>46048</v>
      </c>
      <c r="B142" s="71">
        <v>7552</v>
      </c>
      <c r="C142" s="71">
        <v>1</v>
      </c>
      <c r="D142" s="71" t="s">
        <v>17</v>
      </c>
      <c r="E142" t="s">
        <v>14</v>
      </c>
      <c r="F142" s="71">
        <v>99</v>
      </c>
      <c r="G142" s="72">
        <v>25</v>
      </c>
      <c r="H142" s="73">
        <f t="shared" si="11"/>
        <v>606.5</v>
      </c>
      <c r="I142" s="25"/>
      <c r="J142" s="15">
        <f t="shared" si="1"/>
        <v>0</v>
      </c>
      <c r="K142" s="2"/>
    </row>
    <row r="143" spans="1:15" x14ac:dyDescent="0.3">
      <c r="A143" s="21">
        <v>46048</v>
      </c>
      <c r="B143">
        <v>7553</v>
      </c>
      <c r="C143">
        <v>1</v>
      </c>
      <c r="D143" t="s">
        <v>0</v>
      </c>
      <c r="E143" t="s">
        <v>14</v>
      </c>
      <c r="F143">
        <v>165</v>
      </c>
      <c r="G143" s="23">
        <v>10</v>
      </c>
      <c r="H143" s="24">
        <f t="shared" si="11"/>
        <v>995</v>
      </c>
      <c r="I143" s="25"/>
      <c r="J143" s="15">
        <f t="shared" si="1"/>
        <v>0</v>
      </c>
      <c r="K143" s="2"/>
    </row>
    <row r="144" spans="1:15" x14ac:dyDescent="0.3">
      <c r="A144" s="21">
        <v>46048</v>
      </c>
      <c r="B144">
        <v>7554</v>
      </c>
      <c r="C144">
        <v>1</v>
      </c>
      <c r="D144" t="s">
        <v>30</v>
      </c>
      <c r="E144" t="s">
        <v>14</v>
      </c>
      <c r="F144">
        <v>132</v>
      </c>
      <c r="G144" s="23">
        <v>20</v>
      </c>
      <c r="H144" s="24">
        <f t="shared" si="11"/>
        <v>802</v>
      </c>
      <c r="I144" s="25"/>
      <c r="J144" s="15">
        <f t="shared" si="1"/>
        <v>0</v>
      </c>
      <c r="K144" s="2"/>
    </row>
    <row r="145" spans="1:15" x14ac:dyDescent="0.3">
      <c r="A145" s="21">
        <v>46048</v>
      </c>
      <c r="B145">
        <v>7555</v>
      </c>
      <c r="C145">
        <v>1</v>
      </c>
      <c r="D145" t="s">
        <v>36</v>
      </c>
      <c r="E145" t="s">
        <v>14</v>
      </c>
      <c r="F145">
        <v>33</v>
      </c>
      <c r="G145" s="23">
        <v>1</v>
      </c>
      <c r="H145" s="24">
        <f t="shared" si="11"/>
        <v>198.5</v>
      </c>
      <c r="I145" s="25"/>
      <c r="J145" s="15">
        <f t="shared" si="1"/>
        <v>0</v>
      </c>
      <c r="K145" s="2"/>
    </row>
    <row r="146" spans="1:15" x14ac:dyDescent="0.3">
      <c r="A146" s="21">
        <v>46048</v>
      </c>
      <c r="B146">
        <v>7556</v>
      </c>
      <c r="C146">
        <v>1</v>
      </c>
      <c r="D146" t="s">
        <v>22</v>
      </c>
      <c r="E146" t="s">
        <v>1</v>
      </c>
      <c r="F146">
        <v>33</v>
      </c>
      <c r="G146" s="23">
        <v>11</v>
      </c>
      <c r="H146" s="24">
        <f t="shared" si="11"/>
        <v>203.5</v>
      </c>
      <c r="I146" s="25"/>
      <c r="J146" s="15">
        <f t="shared" si="1"/>
        <v>0</v>
      </c>
      <c r="K146" s="2">
        <f>SUM(H132:H147)-H147-H137-H138</f>
        <v>6340</v>
      </c>
    </row>
    <row r="147" spans="1:15" x14ac:dyDescent="0.3">
      <c r="A147" s="48">
        <v>46048</v>
      </c>
      <c r="B147" s="49">
        <v>7557</v>
      </c>
      <c r="C147" s="49">
        <v>1</v>
      </c>
      <c r="D147" s="49" t="s">
        <v>40</v>
      </c>
      <c r="E147" s="49" t="s">
        <v>1</v>
      </c>
      <c r="F147" s="49">
        <v>66</v>
      </c>
      <c r="G147" s="50">
        <v>20</v>
      </c>
      <c r="H147" s="51">
        <f t="shared" si="11"/>
        <v>406</v>
      </c>
      <c r="I147" s="52"/>
      <c r="J147" s="8">
        <f t="shared" si="1"/>
        <v>0</v>
      </c>
      <c r="K147" s="53">
        <f>+H147</f>
        <v>406</v>
      </c>
      <c r="L147" s="49"/>
      <c r="M147" s="49"/>
      <c r="N147" s="49"/>
      <c r="O147" s="49"/>
    </row>
    <row r="148" spans="1:15" x14ac:dyDescent="0.3">
      <c r="A148" s="21">
        <v>46049</v>
      </c>
      <c r="B148">
        <v>7558</v>
      </c>
      <c r="C148">
        <v>1</v>
      </c>
      <c r="D148" t="s">
        <v>11</v>
      </c>
      <c r="E148" t="s">
        <v>12</v>
      </c>
      <c r="F148">
        <v>4</v>
      </c>
      <c r="G148" s="23">
        <v>9.6</v>
      </c>
      <c r="H148" s="24">
        <f t="shared" si="11"/>
        <v>28.8</v>
      </c>
      <c r="I148" s="25"/>
      <c r="J148" s="15">
        <f t="shared" si="1"/>
        <v>0</v>
      </c>
      <c r="K148" s="2">
        <f>+H148</f>
        <v>28.8</v>
      </c>
    </row>
    <row r="149" spans="1:15" x14ac:dyDescent="0.3">
      <c r="A149" s="21">
        <v>46049</v>
      </c>
      <c r="B149">
        <v>7559</v>
      </c>
      <c r="C149">
        <v>1</v>
      </c>
      <c r="D149" s="22" t="s">
        <v>18</v>
      </c>
      <c r="E149" s="28" t="s">
        <v>20</v>
      </c>
      <c r="F149">
        <v>43</v>
      </c>
      <c r="G149" s="23">
        <v>6</v>
      </c>
      <c r="H149" s="24">
        <f>+F149*9+G149*1</f>
        <v>393</v>
      </c>
      <c r="I149" s="25"/>
      <c r="J149" s="15">
        <f t="shared" si="1"/>
        <v>0</v>
      </c>
      <c r="K149" s="2"/>
    </row>
    <row r="150" spans="1:15" x14ac:dyDescent="0.3">
      <c r="A150" s="21">
        <v>46049</v>
      </c>
      <c r="B150">
        <v>7559</v>
      </c>
      <c r="C150">
        <v>2</v>
      </c>
      <c r="D150" s="22" t="s">
        <v>18</v>
      </c>
      <c r="E150" t="s">
        <v>31</v>
      </c>
      <c r="F150">
        <v>75</v>
      </c>
      <c r="G150" s="23">
        <v>0</v>
      </c>
      <c r="H150" s="24">
        <f>+F150*10.5+G150*0.5</f>
        <v>787.5</v>
      </c>
      <c r="I150" s="25"/>
      <c r="J150" s="15">
        <f t="shared" si="1"/>
        <v>0</v>
      </c>
      <c r="K150" s="2"/>
    </row>
    <row r="151" spans="1:15" x14ac:dyDescent="0.3">
      <c r="A151" s="21">
        <v>46049</v>
      </c>
      <c r="B151">
        <v>7560</v>
      </c>
      <c r="C151">
        <v>1</v>
      </c>
      <c r="D151" s="22" t="s">
        <v>18</v>
      </c>
      <c r="E151" s="28" t="s">
        <v>20</v>
      </c>
      <c r="F151">
        <v>44</v>
      </c>
      <c r="G151" s="23">
        <v>3</v>
      </c>
      <c r="H151" s="24">
        <f>+F151*9+G151*1</f>
        <v>399</v>
      </c>
      <c r="I151" s="25"/>
      <c r="J151" s="15">
        <f t="shared" si="1"/>
        <v>0</v>
      </c>
      <c r="K151" s="2">
        <f>+H149+H150+H151</f>
        <v>1579.5</v>
      </c>
    </row>
    <row r="152" spans="1:15" x14ac:dyDescent="0.3">
      <c r="A152" s="4">
        <v>46049</v>
      </c>
      <c r="B152" s="1">
        <v>7561</v>
      </c>
      <c r="C152" s="1">
        <v>1</v>
      </c>
      <c r="D152" s="1" t="s">
        <v>11</v>
      </c>
      <c r="E152" s="1" t="s">
        <v>12</v>
      </c>
      <c r="F152" s="1">
        <v>24</v>
      </c>
      <c r="G152" s="5">
        <v>4</v>
      </c>
      <c r="H152" s="6">
        <f>+F152*7+G152*2.4</f>
        <v>177.6</v>
      </c>
      <c r="I152" s="7"/>
      <c r="J152" s="8">
        <f t="shared" si="1"/>
        <v>0</v>
      </c>
      <c r="K152" s="9">
        <f>+H152</f>
        <v>177.6</v>
      </c>
      <c r="L152" s="1"/>
      <c r="M152" s="1"/>
      <c r="N152" s="1"/>
      <c r="O152" s="1"/>
    </row>
    <row r="153" spans="1:15" x14ac:dyDescent="0.3">
      <c r="A153" s="21">
        <v>46050</v>
      </c>
      <c r="B153">
        <v>7562</v>
      </c>
      <c r="C153">
        <v>1</v>
      </c>
      <c r="D153" s="22" t="s">
        <v>7</v>
      </c>
      <c r="E153" t="s">
        <v>8</v>
      </c>
      <c r="F153">
        <v>83</v>
      </c>
      <c r="G153" s="23">
        <v>0</v>
      </c>
      <c r="H153" s="24">
        <f>+F153*5+G153*0.5</f>
        <v>415</v>
      </c>
      <c r="I153" s="25"/>
      <c r="J153" s="15">
        <f t="shared" si="1"/>
        <v>0</v>
      </c>
      <c r="K153" s="2"/>
    </row>
    <row r="154" spans="1:15" x14ac:dyDescent="0.3">
      <c r="A154" s="21">
        <v>46050</v>
      </c>
      <c r="B154">
        <v>7562</v>
      </c>
      <c r="C154">
        <v>2</v>
      </c>
      <c r="D154" s="22" t="s">
        <v>7</v>
      </c>
      <c r="E154" t="s">
        <v>4</v>
      </c>
      <c r="F154">
        <v>40</v>
      </c>
      <c r="G154" s="23">
        <v>0</v>
      </c>
      <c r="H154" s="24">
        <f>+F154*5+G154*0.5</f>
        <v>200</v>
      </c>
      <c r="I154" s="25"/>
      <c r="J154" s="15">
        <f t="shared" si="1"/>
        <v>0</v>
      </c>
      <c r="K154" s="2">
        <f>+H154+H153</f>
        <v>615</v>
      </c>
    </row>
    <row r="155" spans="1:15" x14ac:dyDescent="0.3">
      <c r="A155" s="21">
        <v>46050</v>
      </c>
      <c r="B155">
        <v>7563</v>
      </c>
      <c r="C155">
        <v>1</v>
      </c>
      <c r="D155" s="22" t="s">
        <v>18</v>
      </c>
      <c r="E155" s="28" t="s">
        <v>20</v>
      </c>
      <c r="F155">
        <v>100</v>
      </c>
      <c r="G155" s="23">
        <v>7</v>
      </c>
      <c r="H155" s="24">
        <f>+F155*9+G155*1</f>
        <v>907</v>
      </c>
      <c r="I155" s="25"/>
      <c r="J155" s="15">
        <f t="shared" si="1"/>
        <v>0</v>
      </c>
      <c r="K155" s="2">
        <f>+H155</f>
        <v>907</v>
      </c>
    </row>
    <row r="156" spans="1:15" x14ac:dyDescent="0.3">
      <c r="A156" s="21">
        <v>46050</v>
      </c>
      <c r="B156">
        <v>7564</v>
      </c>
      <c r="C156">
        <v>1</v>
      </c>
      <c r="D156" t="s">
        <v>0</v>
      </c>
      <c r="E156" t="s">
        <v>14</v>
      </c>
      <c r="F156">
        <v>33</v>
      </c>
      <c r="G156" s="23">
        <v>2</v>
      </c>
      <c r="H156" s="24">
        <f t="shared" si="11"/>
        <v>199</v>
      </c>
      <c r="I156" s="25"/>
      <c r="J156" s="15">
        <f t="shared" si="1"/>
        <v>0</v>
      </c>
      <c r="K156" s="2"/>
    </row>
    <row r="157" spans="1:15" x14ac:dyDescent="0.3">
      <c r="A157" s="21">
        <v>46050</v>
      </c>
      <c r="B157">
        <v>7565</v>
      </c>
      <c r="C157">
        <v>1</v>
      </c>
      <c r="D157" t="s">
        <v>0</v>
      </c>
      <c r="E157" t="s">
        <v>1</v>
      </c>
      <c r="F157">
        <v>170</v>
      </c>
      <c r="G157" s="23">
        <v>35</v>
      </c>
      <c r="H157" s="24">
        <f t="shared" si="11"/>
        <v>1037.5</v>
      </c>
      <c r="I157" s="25"/>
      <c r="J157" s="15">
        <f t="shared" si="1"/>
        <v>0</v>
      </c>
      <c r="K157" s="2"/>
    </row>
    <row r="158" spans="1:15" x14ac:dyDescent="0.3">
      <c r="A158" s="21">
        <v>46050</v>
      </c>
      <c r="B158">
        <v>7566</v>
      </c>
      <c r="C158">
        <v>1</v>
      </c>
      <c r="D158" t="s">
        <v>15</v>
      </c>
      <c r="E158" t="s">
        <v>14</v>
      </c>
      <c r="F158">
        <v>33</v>
      </c>
      <c r="G158" s="23">
        <v>9</v>
      </c>
      <c r="H158" s="24">
        <f t="shared" si="11"/>
        <v>202.5</v>
      </c>
      <c r="I158" s="25"/>
      <c r="J158" s="15">
        <f t="shared" si="1"/>
        <v>0</v>
      </c>
      <c r="K158" s="2"/>
    </row>
    <row r="159" spans="1:15" x14ac:dyDescent="0.3">
      <c r="A159" s="21">
        <v>46050</v>
      </c>
      <c r="B159">
        <v>7567</v>
      </c>
      <c r="C159">
        <v>1</v>
      </c>
      <c r="D159" t="s">
        <v>16</v>
      </c>
      <c r="E159" t="s">
        <v>14</v>
      </c>
      <c r="F159">
        <v>33</v>
      </c>
      <c r="G159" s="23">
        <v>8</v>
      </c>
      <c r="H159" s="24">
        <f t="shared" si="11"/>
        <v>202</v>
      </c>
      <c r="I159" s="25"/>
      <c r="J159" s="15">
        <f t="shared" si="1"/>
        <v>0</v>
      </c>
      <c r="K159" s="2"/>
    </row>
    <row r="160" spans="1:15" x14ac:dyDescent="0.3">
      <c r="A160" s="21">
        <v>46050</v>
      </c>
      <c r="B160">
        <v>7568</v>
      </c>
      <c r="C160">
        <v>1</v>
      </c>
      <c r="D160" t="s">
        <v>17</v>
      </c>
      <c r="E160" t="s">
        <v>14</v>
      </c>
      <c r="F160">
        <v>35</v>
      </c>
      <c r="G160" s="23">
        <v>9</v>
      </c>
      <c r="H160" s="24">
        <f t="shared" si="11"/>
        <v>214.5</v>
      </c>
      <c r="I160" s="25"/>
      <c r="J160" s="15">
        <f t="shared" si="1"/>
        <v>0</v>
      </c>
      <c r="K160" s="2"/>
    </row>
    <row r="161" spans="1:15" x14ac:dyDescent="0.3">
      <c r="A161" s="21">
        <v>46050</v>
      </c>
      <c r="B161">
        <v>7569</v>
      </c>
      <c r="C161">
        <v>1</v>
      </c>
      <c r="D161" t="s">
        <v>25</v>
      </c>
      <c r="E161" t="s">
        <v>1</v>
      </c>
      <c r="F161">
        <v>33</v>
      </c>
      <c r="G161" s="23">
        <v>11</v>
      </c>
      <c r="H161" s="24">
        <f t="shared" si="11"/>
        <v>203.5</v>
      </c>
      <c r="I161" s="25"/>
      <c r="J161" s="15">
        <f t="shared" si="1"/>
        <v>0</v>
      </c>
      <c r="K161" s="2"/>
    </row>
    <row r="162" spans="1:15" x14ac:dyDescent="0.3">
      <c r="A162" s="4">
        <v>46050</v>
      </c>
      <c r="B162" s="1">
        <v>7570</v>
      </c>
      <c r="C162" s="1">
        <v>1</v>
      </c>
      <c r="D162" s="1" t="s">
        <v>11</v>
      </c>
      <c r="E162" s="1" t="s">
        <v>12</v>
      </c>
      <c r="F162" s="1">
        <v>29</v>
      </c>
      <c r="G162" s="5">
        <v>0</v>
      </c>
      <c r="H162" s="6">
        <f>+F162*7.2+G162*0</f>
        <v>208.8</v>
      </c>
      <c r="I162" s="7"/>
      <c r="J162" s="8">
        <f t="shared" si="1"/>
        <v>0</v>
      </c>
      <c r="K162" s="9">
        <f>SUM(H156:H162)</f>
        <v>2267.8000000000002</v>
      </c>
      <c r="L162" s="1"/>
      <c r="M162" s="1"/>
      <c r="N162" s="1"/>
      <c r="O162" s="1"/>
    </row>
    <row r="163" spans="1:15" x14ac:dyDescent="0.3">
      <c r="A163" s="21">
        <v>46051</v>
      </c>
      <c r="B163">
        <v>7571</v>
      </c>
      <c r="C163">
        <v>1</v>
      </c>
      <c r="D163" t="s">
        <v>40</v>
      </c>
      <c r="E163" t="s">
        <v>1</v>
      </c>
      <c r="F163">
        <v>66</v>
      </c>
      <c r="G163" s="23">
        <v>20</v>
      </c>
      <c r="H163" s="24">
        <f t="shared" si="11"/>
        <v>406</v>
      </c>
      <c r="I163" s="25"/>
      <c r="J163" s="15">
        <f t="shared" si="1"/>
        <v>0</v>
      </c>
      <c r="K163" s="2"/>
    </row>
    <row r="164" spans="1:15" x14ac:dyDescent="0.3">
      <c r="A164" s="21">
        <v>46051</v>
      </c>
      <c r="B164">
        <v>7572</v>
      </c>
      <c r="C164">
        <v>1</v>
      </c>
      <c r="D164" s="22" t="s">
        <v>18</v>
      </c>
      <c r="E164" s="28" t="s">
        <v>20</v>
      </c>
      <c r="F164">
        <v>87</v>
      </c>
      <c r="G164" s="23">
        <v>10</v>
      </c>
      <c r="H164" s="24">
        <f>+F164*9+G164*1</f>
        <v>793</v>
      </c>
      <c r="I164" s="25"/>
      <c r="J164" s="15">
        <f t="shared" si="1"/>
        <v>0</v>
      </c>
      <c r="K164" s="2">
        <f>+H164</f>
        <v>793</v>
      </c>
    </row>
    <row r="165" spans="1:15" x14ac:dyDescent="0.3">
      <c r="A165" s="21">
        <v>46051</v>
      </c>
      <c r="B165">
        <v>7573</v>
      </c>
      <c r="C165">
        <v>1</v>
      </c>
      <c r="D165" t="s">
        <v>16</v>
      </c>
      <c r="E165" t="s">
        <v>14</v>
      </c>
      <c r="F165">
        <v>201</v>
      </c>
      <c r="G165" s="23">
        <v>38</v>
      </c>
      <c r="H165" s="24">
        <f t="shared" si="11"/>
        <v>1225</v>
      </c>
      <c r="I165" s="25"/>
      <c r="J165" s="15">
        <f t="shared" si="1"/>
        <v>0</v>
      </c>
      <c r="K165" s="2"/>
    </row>
    <row r="166" spans="1:15" x14ac:dyDescent="0.3">
      <c r="A166" s="21">
        <v>46051</v>
      </c>
      <c r="B166">
        <v>7574</v>
      </c>
      <c r="C166">
        <v>1</v>
      </c>
      <c r="D166" t="s">
        <v>17</v>
      </c>
      <c r="E166" t="s">
        <v>14</v>
      </c>
      <c r="F166">
        <v>65</v>
      </c>
      <c r="G166" s="23">
        <v>10</v>
      </c>
      <c r="H166" s="24">
        <f t="shared" si="11"/>
        <v>395</v>
      </c>
      <c r="I166" s="25"/>
      <c r="J166" s="15">
        <f t="shared" si="1"/>
        <v>0</v>
      </c>
      <c r="K166" s="2"/>
    </row>
    <row r="167" spans="1:15" x14ac:dyDescent="0.3">
      <c r="A167" s="21">
        <v>46051</v>
      </c>
      <c r="B167">
        <v>7575</v>
      </c>
      <c r="C167">
        <v>1</v>
      </c>
      <c r="D167" t="s">
        <v>17</v>
      </c>
      <c r="E167" t="s">
        <v>1</v>
      </c>
      <c r="F167">
        <v>34</v>
      </c>
      <c r="G167" s="23">
        <v>0</v>
      </c>
      <c r="H167" s="24">
        <f t="shared" si="11"/>
        <v>204</v>
      </c>
      <c r="I167" s="25"/>
      <c r="J167" s="15">
        <f t="shared" si="1"/>
        <v>0</v>
      </c>
      <c r="K167" s="2"/>
    </row>
    <row r="168" spans="1:15" x14ac:dyDescent="0.3">
      <c r="A168" s="21">
        <v>46051</v>
      </c>
      <c r="B168">
        <v>7576</v>
      </c>
      <c r="C168">
        <v>1</v>
      </c>
      <c r="D168" t="s">
        <v>35</v>
      </c>
      <c r="E168" s="28" t="s">
        <v>20</v>
      </c>
      <c r="F168">
        <v>32</v>
      </c>
      <c r="G168" s="23">
        <v>4</v>
      </c>
      <c r="H168" s="24">
        <f>+F168*6+G168*1</f>
        <v>196</v>
      </c>
      <c r="I168" s="25"/>
      <c r="J168" s="15">
        <f t="shared" si="1"/>
        <v>0</v>
      </c>
      <c r="K168" s="2"/>
    </row>
    <row r="169" spans="1:15" x14ac:dyDescent="0.3">
      <c r="A169" s="21">
        <v>46051</v>
      </c>
      <c r="B169">
        <v>7577</v>
      </c>
      <c r="C169">
        <v>1</v>
      </c>
      <c r="D169" t="s">
        <v>35</v>
      </c>
      <c r="E169" t="s">
        <v>1</v>
      </c>
      <c r="F169">
        <v>28</v>
      </c>
      <c r="G169" s="23">
        <v>3</v>
      </c>
      <c r="H169" s="24">
        <f t="shared" si="11"/>
        <v>169.5</v>
      </c>
      <c r="I169" s="25"/>
      <c r="J169" s="15">
        <f t="shared" si="1"/>
        <v>0</v>
      </c>
      <c r="K169" s="2"/>
    </row>
    <row r="170" spans="1:15" x14ac:dyDescent="0.3">
      <c r="A170" s="21">
        <v>46051</v>
      </c>
      <c r="B170">
        <v>7578</v>
      </c>
      <c r="C170">
        <v>1</v>
      </c>
      <c r="D170" t="s">
        <v>27</v>
      </c>
      <c r="E170" t="s">
        <v>14</v>
      </c>
      <c r="F170">
        <v>99</v>
      </c>
      <c r="G170" s="23">
        <v>23</v>
      </c>
      <c r="H170" s="24">
        <f t="shared" si="11"/>
        <v>605.5</v>
      </c>
      <c r="I170" s="25"/>
      <c r="J170" s="15">
        <f t="shared" si="1"/>
        <v>0</v>
      </c>
      <c r="K170" s="2"/>
    </row>
    <row r="171" spans="1:15" x14ac:dyDescent="0.3">
      <c r="A171" s="21">
        <v>46051</v>
      </c>
      <c r="B171">
        <v>7579</v>
      </c>
      <c r="C171">
        <v>1</v>
      </c>
      <c r="D171" t="s">
        <v>41</v>
      </c>
      <c r="E171" t="s">
        <v>14</v>
      </c>
      <c r="F171">
        <v>33</v>
      </c>
      <c r="G171" s="23">
        <v>6</v>
      </c>
      <c r="H171" s="24">
        <f t="shared" si="11"/>
        <v>201</v>
      </c>
      <c r="I171" s="25"/>
      <c r="J171" s="15">
        <f t="shared" si="1"/>
        <v>0</v>
      </c>
      <c r="K171" s="2"/>
    </row>
    <row r="172" spans="1:15" x14ac:dyDescent="0.3">
      <c r="A172" s="21">
        <v>46051</v>
      </c>
      <c r="B172">
        <v>7580</v>
      </c>
      <c r="C172">
        <v>1</v>
      </c>
      <c r="D172" t="s">
        <v>0</v>
      </c>
      <c r="E172" t="s">
        <v>1</v>
      </c>
      <c r="F172">
        <v>66</v>
      </c>
      <c r="G172" s="23">
        <v>21</v>
      </c>
      <c r="H172" s="24">
        <f t="shared" si="11"/>
        <v>406.5</v>
      </c>
      <c r="I172" s="25"/>
      <c r="J172" s="15">
        <f t="shared" si="1"/>
        <v>0</v>
      </c>
      <c r="K172" s="2"/>
    </row>
    <row r="173" spans="1:15" x14ac:dyDescent="0.3">
      <c r="A173" s="4">
        <v>46051</v>
      </c>
      <c r="B173" s="1">
        <v>7581</v>
      </c>
      <c r="C173" s="1">
        <v>1</v>
      </c>
      <c r="D173" s="1" t="s">
        <v>0</v>
      </c>
      <c r="E173" s="1" t="s">
        <v>14</v>
      </c>
      <c r="F173" s="1">
        <v>66</v>
      </c>
      <c r="G173" s="5">
        <v>18</v>
      </c>
      <c r="H173" s="6">
        <f t="shared" si="11"/>
        <v>405</v>
      </c>
      <c r="I173" s="7"/>
      <c r="J173" s="8">
        <f t="shared" si="1"/>
        <v>0</v>
      </c>
      <c r="K173" s="9">
        <f>SUM(H165:H173)+H163</f>
        <v>4213.5</v>
      </c>
      <c r="L173" s="1"/>
      <c r="M173" s="1"/>
      <c r="N173" s="1"/>
      <c r="O173" s="1"/>
    </row>
    <row r="174" spans="1:15" x14ac:dyDescent="0.3">
      <c r="A174" s="21">
        <v>46052</v>
      </c>
      <c r="B174">
        <v>7582</v>
      </c>
      <c r="C174">
        <v>1</v>
      </c>
      <c r="D174" s="22" t="s">
        <v>18</v>
      </c>
      <c r="E174" s="28" t="s">
        <v>20</v>
      </c>
      <c r="F174">
        <v>104</v>
      </c>
      <c r="G174" s="23">
        <v>17</v>
      </c>
      <c r="H174" s="24">
        <f>+F174*9+G174*1</f>
        <v>953</v>
      </c>
      <c r="I174" s="25"/>
      <c r="J174" s="15">
        <f t="shared" si="1"/>
        <v>0</v>
      </c>
      <c r="K174" s="2">
        <f>+H174+H180+H181</f>
        <v>2897.5</v>
      </c>
    </row>
    <row r="175" spans="1:15" x14ac:dyDescent="0.3">
      <c r="A175" s="21">
        <v>46052</v>
      </c>
      <c r="B175">
        <v>7583</v>
      </c>
      <c r="C175">
        <v>1</v>
      </c>
      <c r="D175" t="s">
        <v>36</v>
      </c>
      <c r="E175" t="s">
        <v>14</v>
      </c>
      <c r="F175">
        <v>66</v>
      </c>
      <c r="G175" s="23">
        <v>14</v>
      </c>
      <c r="H175" s="24">
        <f t="shared" si="11"/>
        <v>403</v>
      </c>
      <c r="I175" s="25"/>
      <c r="J175" s="15">
        <f t="shared" si="1"/>
        <v>0</v>
      </c>
      <c r="K175" s="2">
        <f>SUM(H175:H179)</f>
        <v>2447</v>
      </c>
    </row>
    <row r="176" spans="1:15" x14ac:dyDescent="0.3">
      <c r="A176" s="21">
        <v>46052</v>
      </c>
      <c r="B176">
        <v>7584</v>
      </c>
      <c r="C176">
        <v>1</v>
      </c>
      <c r="D176" t="s">
        <v>16</v>
      </c>
      <c r="E176" t="s">
        <v>14</v>
      </c>
      <c r="F176">
        <v>101</v>
      </c>
      <c r="G176" s="23">
        <v>24</v>
      </c>
      <c r="H176" s="24">
        <f t="shared" si="11"/>
        <v>618</v>
      </c>
      <c r="I176" s="25"/>
      <c r="J176" s="15">
        <f t="shared" si="1"/>
        <v>0</v>
      </c>
      <c r="K176" s="2"/>
    </row>
    <row r="177" spans="1:15" x14ac:dyDescent="0.3">
      <c r="A177" s="21">
        <v>46052</v>
      </c>
      <c r="B177">
        <v>7585</v>
      </c>
      <c r="C177">
        <v>1</v>
      </c>
      <c r="D177" t="s">
        <v>16</v>
      </c>
      <c r="E177" t="s">
        <v>1</v>
      </c>
      <c r="F177">
        <v>34</v>
      </c>
      <c r="G177" s="23">
        <v>0</v>
      </c>
      <c r="H177" s="24">
        <f t="shared" si="11"/>
        <v>204</v>
      </c>
      <c r="I177" s="25"/>
      <c r="J177" s="15">
        <f t="shared" si="1"/>
        <v>0</v>
      </c>
      <c r="K177" s="2"/>
    </row>
    <row r="178" spans="1:15" x14ac:dyDescent="0.3">
      <c r="A178" s="21">
        <v>46052</v>
      </c>
      <c r="B178">
        <v>7586</v>
      </c>
      <c r="C178">
        <v>1</v>
      </c>
      <c r="D178" t="s">
        <v>15</v>
      </c>
      <c r="E178" t="s">
        <v>14</v>
      </c>
      <c r="F178">
        <v>134</v>
      </c>
      <c r="G178" s="23">
        <v>29</v>
      </c>
      <c r="H178" s="24">
        <f t="shared" si="11"/>
        <v>818.5</v>
      </c>
      <c r="I178" s="25"/>
      <c r="J178" s="15">
        <f t="shared" si="1"/>
        <v>0</v>
      </c>
      <c r="K178" s="2"/>
    </row>
    <row r="179" spans="1:15" x14ac:dyDescent="0.3">
      <c r="A179" s="21">
        <v>46052</v>
      </c>
      <c r="B179">
        <v>7587</v>
      </c>
      <c r="C179">
        <v>1</v>
      </c>
      <c r="D179" t="s">
        <v>17</v>
      </c>
      <c r="E179" t="s">
        <v>14</v>
      </c>
      <c r="F179">
        <v>66</v>
      </c>
      <c r="G179" s="23">
        <v>15</v>
      </c>
      <c r="H179" s="24">
        <f t="shared" si="11"/>
        <v>403.5</v>
      </c>
      <c r="I179" s="25"/>
      <c r="J179" s="15">
        <f t="shared" si="1"/>
        <v>0</v>
      </c>
      <c r="K179" s="2"/>
    </row>
    <row r="180" spans="1:15" x14ac:dyDescent="0.3">
      <c r="A180" s="21">
        <v>46052</v>
      </c>
      <c r="B180">
        <v>7588</v>
      </c>
      <c r="C180">
        <v>1</v>
      </c>
      <c r="D180" s="22" t="s">
        <v>18</v>
      </c>
      <c r="E180" s="28" t="s">
        <v>20</v>
      </c>
      <c r="F180">
        <v>106</v>
      </c>
      <c r="G180" s="23">
        <v>14</v>
      </c>
      <c r="H180" s="24">
        <f>+F180*9+G180*1</f>
        <v>968</v>
      </c>
      <c r="I180" s="25"/>
      <c r="J180" s="15">
        <f t="shared" si="1"/>
        <v>0</v>
      </c>
      <c r="K180" s="2"/>
    </row>
    <row r="181" spans="1:15" x14ac:dyDescent="0.3">
      <c r="A181" s="4">
        <v>46052</v>
      </c>
      <c r="B181" s="1">
        <v>7589</v>
      </c>
      <c r="C181" s="1">
        <v>1</v>
      </c>
      <c r="D181" s="26" t="s">
        <v>18</v>
      </c>
      <c r="E181" s="1" t="s">
        <v>31</v>
      </c>
      <c r="F181" s="1">
        <v>93</v>
      </c>
      <c r="G181" s="5">
        <v>0</v>
      </c>
      <c r="H181" s="6">
        <f>+F181*10.5+G181*0.5</f>
        <v>976.5</v>
      </c>
      <c r="I181" s="7"/>
      <c r="J181" s="8">
        <f t="shared" si="1"/>
        <v>0</v>
      </c>
      <c r="K181" s="9"/>
      <c r="L181" s="1"/>
      <c r="M181" s="1"/>
      <c r="N181" s="1"/>
      <c r="O181" s="1"/>
    </row>
    <row r="182" spans="1:15" x14ac:dyDescent="0.3">
      <c r="A182" s="21">
        <v>46053</v>
      </c>
      <c r="B182">
        <v>7590</v>
      </c>
      <c r="C182">
        <v>1</v>
      </c>
      <c r="D182" t="s">
        <v>36</v>
      </c>
      <c r="E182" t="s">
        <v>14</v>
      </c>
      <c r="F182">
        <v>33</v>
      </c>
      <c r="G182" s="23">
        <v>8</v>
      </c>
      <c r="H182" s="24">
        <f t="shared" si="11"/>
        <v>202</v>
      </c>
      <c r="I182" s="25"/>
      <c r="J182" s="15">
        <f t="shared" si="1"/>
        <v>0</v>
      </c>
      <c r="K182" s="2"/>
    </row>
    <row r="183" spans="1:15" x14ac:dyDescent="0.3">
      <c r="A183" s="21">
        <v>46053</v>
      </c>
      <c r="B183">
        <v>7591</v>
      </c>
      <c r="C183">
        <v>2</v>
      </c>
      <c r="D183" t="s">
        <v>27</v>
      </c>
      <c r="E183" t="s">
        <v>14</v>
      </c>
      <c r="F183">
        <v>33</v>
      </c>
      <c r="G183" s="23">
        <v>9</v>
      </c>
      <c r="H183" s="24">
        <f t="shared" si="11"/>
        <v>202.5</v>
      </c>
      <c r="I183" s="25"/>
      <c r="J183" s="15">
        <f t="shared" si="1"/>
        <v>0</v>
      </c>
      <c r="K183" s="2"/>
    </row>
    <row r="184" spans="1:15" ht="15" thickBot="1" x14ac:dyDescent="0.35">
      <c r="A184" s="21">
        <v>46053</v>
      </c>
      <c r="B184">
        <v>7592</v>
      </c>
      <c r="C184">
        <v>3</v>
      </c>
      <c r="D184" t="s">
        <v>0</v>
      </c>
      <c r="E184" t="s">
        <v>14</v>
      </c>
      <c r="F184">
        <v>103</v>
      </c>
      <c r="G184" s="23">
        <v>16</v>
      </c>
      <c r="H184" s="24">
        <f t="shared" si="11"/>
        <v>626</v>
      </c>
      <c r="I184" s="25"/>
      <c r="J184" s="15">
        <f t="shared" si="1"/>
        <v>0</v>
      </c>
      <c r="K184" s="2"/>
    </row>
    <row r="185" spans="1:15" ht="15" thickBot="1" x14ac:dyDescent="0.35">
      <c r="A185" s="21">
        <v>46053</v>
      </c>
      <c r="B185">
        <v>7593</v>
      </c>
      <c r="C185">
        <v>4</v>
      </c>
      <c r="D185" t="s">
        <v>23</v>
      </c>
      <c r="E185" t="s">
        <v>14</v>
      </c>
      <c r="F185">
        <v>66</v>
      </c>
      <c r="G185" s="23">
        <v>14</v>
      </c>
      <c r="H185" s="24">
        <f t="shared" si="11"/>
        <v>403</v>
      </c>
      <c r="I185" s="25"/>
      <c r="J185" s="15">
        <f t="shared" si="1"/>
        <v>0</v>
      </c>
      <c r="K185" s="2"/>
      <c r="L185" s="74">
        <f>+L186-[1]VTAIND!$D$79</f>
        <v>-236.5</v>
      </c>
      <c r="M185" s="75">
        <f>+M186-[1]VTAIND!$D$47</f>
        <v>-343298.5</v>
      </c>
      <c r="N185" s="76">
        <f>SUM(J1:J187)</f>
        <v>0</v>
      </c>
      <c r="O185" s="77" t="e">
        <f>AVERAGE(I1:I187)</f>
        <v>#DIV/0!</v>
      </c>
    </row>
    <row r="186" spans="1:15" ht="15" thickBot="1" x14ac:dyDescent="0.35">
      <c r="A186" s="21">
        <v>46053</v>
      </c>
      <c r="B186">
        <v>7594</v>
      </c>
      <c r="C186">
        <v>5</v>
      </c>
      <c r="D186" t="s">
        <v>17</v>
      </c>
      <c r="E186" t="s">
        <v>14</v>
      </c>
      <c r="F186">
        <v>35</v>
      </c>
      <c r="G186" s="23">
        <v>8</v>
      </c>
      <c r="H186" s="24">
        <f t="shared" si="11"/>
        <v>214</v>
      </c>
      <c r="I186" s="25"/>
      <c r="J186" s="15">
        <f t="shared" si="1"/>
        <v>0</v>
      </c>
      <c r="K186" s="2">
        <f>SUM(H182:H186)</f>
        <v>1647.5</v>
      </c>
      <c r="L186" s="78">
        <f>SUM(K1:K187)</f>
        <v>80771.199999999997</v>
      </c>
      <c r="M186" s="79">
        <f>+L186</f>
        <v>80771.199999999997</v>
      </c>
      <c r="N186" s="80">
        <f>+N185-[1]VTAIND!$E$79</f>
        <v>-6625931.5</v>
      </c>
      <c r="O186" s="81">
        <f>N185/L186</f>
        <v>0</v>
      </c>
    </row>
    <row r="187" spans="1:15" ht="15" thickBot="1" x14ac:dyDescent="0.35">
      <c r="A187" s="82">
        <v>46053</v>
      </c>
      <c r="B187" s="3">
        <v>7595</v>
      </c>
      <c r="C187" s="3">
        <v>1</v>
      </c>
      <c r="D187" s="83" t="s">
        <v>18</v>
      </c>
      <c r="E187" s="84" t="s">
        <v>20</v>
      </c>
      <c r="F187" s="3">
        <v>44</v>
      </c>
      <c r="G187" s="85">
        <v>4</v>
      </c>
      <c r="H187" s="86">
        <f>+F187*9+G187*1</f>
        <v>400</v>
      </c>
      <c r="I187" s="87"/>
      <c r="J187" s="88">
        <f t="shared" si="1"/>
        <v>0</v>
      </c>
      <c r="K187" s="89">
        <f>+H187</f>
        <v>400</v>
      </c>
      <c r="L187" s="3"/>
      <c r="M187" s="3"/>
      <c r="N187" s="3"/>
      <c r="O187" s="3"/>
    </row>
    <row r="188" spans="1:15" x14ac:dyDescent="0.3">
      <c r="A188" s="21">
        <v>46055</v>
      </c>
      <c r="B188">
        <v>7596</v>
      </c>
      <c r="C188">
        <v>1</v>
      </c>
      <c r="D188" t="s">
        <v>22</v>
      </c>
      <c r="E188" t="s">
        <v>1</v>
      </c>
      <c r="F188">
        <v>35</v>
      </c>
      <c r="G188" s="23">
        <v>2</v>
      </c>
      <c r="H188" s="24">
        <f t="shared" si="11"/>
        <v>211</v>
      </c>
      <c r="I188" s="25"/>
      <c r="J188" s="15">
        <f t="shared" si="1"/>
        <v>0</v>
      </c>
      <c r="K188" s="2"/>
    </row>
    <row r="189" spans="1:15" x14ac:dyDescent="0.3">
      <c r="A189" s="21">
        <v>46055</v>
      </c>
      <c r="B189">
        <v>7597</v>
      </c>
      <c r="C189">
        <v>1</v>
      </c>
      <c r="D189" t="s">
        <v>36</v>
      </c>
      <c r="E189" t="s">
        <v>14</v>
      </c>
      <c r="F189">
        <v>67</v>
      </c>
      <c r="G189" s="23">
        <v>6</v>
      </c>
      <c r="H189" s="24">
        <f t="shared" si="11"/>
        <v>405</v>
      </c>
      <c r="I189" s="25"/>
      <c r="J189" s="15">
        <f t="shared" si="1"/>
        <v>0</v>
      </c>
      <c r="K189" s="2"/>
    </row>
    <row r="190" spans="1:15" x14ac:dyDescent="0.3">
      <c r="A190" s="21">
        <v>46055</v>
      </c>
      <c r="B190">
        <v>7598</v>
      </c>
      <c r="C190">
        <v>1</v>
      </c>
      <c r="D190" t="s">
        <v>27</v>
      </c>
      <c r="E190" t="s">
        <v>14</v>
      </c>
      <c r="F190">
        <v>135</v>
      </c>
      <c r="G190" s="23">
        <v>21</v>
      </c>
      <c r="H190" s="24">
        <f t="shared" si="11"/>
        <v>820.5</v>
      </c>
      <c r="I190" s="25"/>
      <c r="J190" s="15">
        <f t="shared" si="1"/>
        <v>0</v>
      </c>
      <c r="K190" s="2"/>
    </row>
    <row r="191" spans="1:15" x14ac:dyDescent="0.3">
      <c r="A191" s="21">
        <v>46055</v>
      </c>
      <c r="B191">
        <v>7599</v>
      </c>
      <c r="C191">
        <v>1</v>
      </c>
      <c r="D191" t="s">
        <v>0</v>
      </c>
      <c r="E191" t="s">
        <v>14</v>
      </c>
      <c r="F191">
        <v>101</v>
      </c>
      <c r="G191" s="23">
        <v>23</v>
      </c>
      <c r="H191" s="24">
        <f t="shared" si="11"/>
        <v>617.5</v>
      </c>
      <c r="I191" s="25"/>
      <c r="J191" s="15">
        <f t="shared" si="1"/>
        <v>0</v>
      </c>
      <c r="K191" s="2"/>
    </row>
    <row r="192" spans="1:15" x14ac:dyDescent="0.3">
      <c r="A192" s="21">
        <v>46055</v>
      </c>
      <c r="B192">
        <v>7600</v>
      </c>
      <c r="C192">
        <v>1</v>
      </c>
      <c r="D192" t="s">
        <v>15</v>
      </c>
      <c r="E192" t="s">
        <v>14</v>
      </c>
      <c r="F192">
        <v>133</v>
      </c>
      <c r="G192" s="23">
        <v>24</v>
      </c>
      <c r="H192" s="24">
        <f t="shared" si="11"/>
        <v>810</v>
      </c>
      <c r="I192" s="25"/>
      <c r="J192" s="15">
        <f t="shared" si="1"/>
        <v>0</v>
      </c>
      <c r="K192" s="2"/>
    </row>
    <row r="193" spans="1:15" x14ac:dyDescent="0.3">
      <c r="A193" s="21">
        <v>46055</v>
      </c>
      <c r="B193">
        <v>7601</v>
      </c>
      <c r="C193">
        <v>1</v>
      </c>
      <c r="D193" t="s">
        <v>23</v>
      </c>
      <c r="E193" t="s">
        <v>14</v>
      </c>
      <c r="F193">
        <v>104</v>
      </c>
      <c r="G193" s="23">
        <v>14</v>
      </c>
      <c r="H193" s="24">
        <f t="shared" si="11"/>
        <v>631</v>
      </c>
      <c r="I193" s="25"/>
      <c r="J193" s="15">
        <f t="shared" si="1"/>
        <v>0</v>
      </c>
      <c r="K193" s="2"/>
    </row>
    <row r="194" spans="1:15" x14ac:dyDescent="0.3">
      <c r="A194" s="35">
        <v>46055</v>
      </c>
      <c r="B194" s="36">
        <v>7602</v>
      </c>
      <c r="C194" s="36">
        <v>1</v>
      </c>
      <c r="D194" s="36" t="s">
        <v>21</v>
      </c>
      <c r="E194" s="36">
        <v>0</v>
      </c>
      <c r="F194" s="36">
        <v>0</v>
      </c>
      <c r="G194" s="37">
        <v>0</v>
      </c>
      <c r="H194" s="38">
        <f>+F194*6+G194*0.5</f>
        <v>0</v>
      </c>
      <c r="I194" s="39"/>
      <c r="J194" s="15">
        <f>+H194*I194</f>
        <v>0</v>
      </c>
      <c r="K194" s="40"/>
      <c r="L194" s="36"/>
      <c r="M194" s="36"/>
      <c r="N194" s="36"/>
      <c r="O194" s="36"/>
    </row>
    <row r="195" spans="1:15" x14ac:dyDescent="0.3">
      <c r="A195" s="21">
        <v>46055</v>
      </c>
      <c r="B195">
        <v>7603</v>
      </c>
      <c r="C195">
        <v>1</v>
      </c>
      <c r="D195" t="s">
        <v>17</v>
      </c>
      <c r="E195" t="s">
        <v>14</v>
      </c>
      <c r="F195" s="36">
        <v>35</v>
      </c>
      <c r="G195" s="37">
        <v>5</v>
      </c>
      <c r="H195" s="38">
        <f t="shared" si="11"/>
        <v>212.5</v>
      </c>
      <c r="I195" s="25"/>
      <c r="J195" s="15">
        <f t="shared" si="1"/>
        <v>0</v>
      </c>
      <c r="K195" s="2"/>
    </row>
    <row r="196" spans="1:15" x14ac:dyDescent="0.3">
      <c r="A196" s="21">
        <v>46055</v>
      </c>
      <c r="B196">
        <v>7604</v>
      </c>
      <c r="C196">
        <v>1</v>
      </c>
      <c r="D196" t="s">
        <v>17</v>
      </c>
      <c r="E196" t="s">
        <v>1</v>
      </c>
      <c r="F196">
        <v>34</v>
      </c>
      <c r="G196" s="23">
        <v>0</v>
      </c>
      <c r="H196" s="24">
        <f t="shared" si="11"/>
        <v>204</v>
      </c>
      <c r="I196" s="25"/>
      <c r="J196" s="15">
        <f t="shared" si="1"/>
        <v>0</v>
      </c>
      <c r="K196" s="2"/>
    </row>
    <row r="197" spans="1:15" x14ac:dyDescent="0.3">
      <c r="A197" s="21">
        <v>46055</v>
      </c>
      <c r="B197">
        <v>7605</v>
      </c>
      <c r="C197">
        <v>1</v>
      </c>
      <c r="D197" t="s">
        <v>35</v>
      </c>
      <c r="E197" s="28" t="s">
        <v>20</v>
      </c>
      <c r="F197">
        <v>92</v>
      </c>
      <c r="G197" s="23">
        <v>15</v>
      </c>
      <c r="H197" s="24">
        <f>+F197*6+G197*1</f>
        <v>567</v>
      </c>
      <c r="I197" s="25"/>
      <c r="J197" s="15">
        <f t="shared" si="1"/>
        <v>0</v>
      </c>
      <c r="K197" s="2"/>
    </row>
    <row r="198" spans="1:15" x14ac:dyDescent="0.3">
      <c r="A198" s="4">
        <v>46055</v>
      </c>
      <c r="B198" s="1">
        <v>7606</v>
      </c>
      <c r="C198" s="1">
        <v>1</v>
      </c>
      <c r="D198" s="1" t="s">
        <v>11</v>
      </c>
      <c r="E198" s="1" t="s">
        <v>12</v>
      </c>
      <c r="F198" s="1">
        <v>33</v>
      </c>
      <c r="G198" s="5">
        <v>2</v>
      </c>
      <c r="H198" s="6">
        <f>+F198*6+G198*1</f>
        <v>200</v>
      </c>
      <c r="I198" s="7"/>
      <c r="J198" s="8">
        <f t="shared" si="1"/>
        <v>0</v>
      </c>
      <c r="K198" s="9"/>
      <c r="L198" s="1"/>
      <c r="M198" s="1"/>
      <c r="N198" s="1"/>
      <c r="O198" s="1"/>
    </row>
    <row r="199" spans="1:15" x14ac:dyDescent="0.3">
      <c r="A199" s="21">
        <v>46056</v>
      </c>
      <c r="B199">
        <v>7607</v>
      </c>
      <c r="C199">
        <v>1</v>
      </c>
      <c r="D199" t="s">
        <v>42</v>
      </c>
      <c r="E199" t="s">
        <v>43</v>
      </c>
      <c r="F199">
        <v>63</v>
      </c>
      <c r="G199" s="23">
        <v>15</v>
      </c>
      <c r="H199" s="24">
        <f>+F199*9+G199*1</f>
        <v>582</v>
      </c>
      <c r="I199" s="25"/>
      <c r="J199" s="15">
        <f t="shared" si="1"/>
        <v>0</v>
      </c>
      <c r="K199" s="2"/>
    </row>
    <row r="200" spans="1:15" x14ac:dyDescent="0.3">
      <c r="A200" s="21">
        <v>46056</v>
      </c>
      <c r="B200">
        <v>7608</v>
      </c>
      <c r="C200">
        <v>1</v>
      </c>
      <c r="D200" t="s">
        <v>39</v>
      </c>
      <c r="E200" t="s">
        <v>1</v>
      </c>
      <c r="F200">
        <v>66</v>
      </c>
      <c r="G200" s="23">
        <v>10</v>
      </c>
      <c r="H200" s="24">
        <f t="shared" si="11"/>
        <v>401</v>
      </c>
      <c r="I200" s="25"/>
      <c r="J200" s="15">
        <f t="shared" si="1"/>
        <v>0</v>
      </c>
      <c r="K200" s="2"/>
    </row>
    <row r="201" spans="1:15" x14ac:dyDescent="0.3">
      <c r="A201" s="21">
        <v>46056</v>
      </c>
      <c r="B201">
        <v>7609</v>
      </c>
      <c r="C201">
        <v>1</v>
      </c>
      <c r="D201" t="s">
        <v>0</v>
      </c>
      <c r="E201" t="s">
        <v>14</v>
      </c>
      <c r="F201">
        <v>33</v>
      </c>
      <c r="G201" s="23">
        <v>10</v>
      </c>
      <c r="H201" s="24">
        <f t="shared" si="11"/>
        <v>203</v>
      </c>
      <c r="I201" s="25"/>
      <c r="J201" s="15">
        <f t="shared" si="1"/>
        <v>0</v>
      </c>
      <c r="K201" s="2"/>
    </row>
    <row r="202" spans="1:15" x14ac:dyDescent="0.3">
      <c r="A202" s="21">
        <v>46056</v>
      </c>
      <c r="B202">
        <v>7610</v>
      </c>
      <c r="C202">
        <v>1</v>
      </c>
      <c r="D202" t="s">
        <v>36</v>
      </c>
      <c r="E202" t="s">
        <v>14</v>
      </c>
      <c r="F202">
        <v>35</v>
      </c>
      <c r="G202" s="23">
        <v>7</v>
      </c>
      <c r="H202" s="24">
        <f t="shared" si="11"/>
        <v>213.5</v>
      </c>
      <c r="I202" s="25"/>
      <c r="J202" s="15">
        <f t="shared" si="1"/>
        <v>0</v>
      </c>
      <c r="K202" s="2"/>
    </row>
    <row r="203" spans="1:15" x14ac:dyDescent="0.3">
      <c r="A203" s="21">
        <v>46056</v>
      </c>
      <c r="B203">
        <v>7611</v>
      </c>
      <c r="C203">
        <v>1</v>
      </c>
      <c r="D203" t="s">
        <v>26</v>
      </c>
      <c r="E203" t="s">
        <v>14</v>
      </c>
      <c r="F203">
        <v>33</v>
      </c>
      <c r="G203" s="23">
        <v>9</v>
      </c>
      <c r="H203" s="24">
        <f t="shared" si="11"/>
        <v>202.5</v>
      </c>
      <c r="I203" s="25"/>
      <c r="J203" s="15">
        <f t="shared" si="1"/>
        <v>0</v>
      </c>
      <c r="K203" s="2"/>
    </row>
    <row r="204" spans="1:15" x14ac:dyDescent="0.3">
      <c r="A204" s="21">
        <v>46056</v>
      </c>
      <c r="B204">
        <v>7612</v>
      </c>
      <c r="C204">
        <v>1</v>
      </c>
      <c r="D204" t="s">
        <v>25</v>
      </c>
      <c r="E204" t="s">
        <v>1</v>
      </c>
      <c r="F204">
        <v>66</v>
      </c>
      <c r="G204" s="23">
        <v>19</v>
      </c>
      <c r="H204" s="24">
        <f t="shared" ref="H204:H267" si="12">+F204*6+G204*0.5</f>
        <v>405.5</v>
      </c>
      <c r="I204" s="25"/>
      <c r="J204" s="15">
        <f t="shared" si="1"/>
        <v>0</v>
      </c>
      <c r="K204" s="2"/>
    </row>
    <row r="205" spans="1:15" x14ac:dyDescent="0.3">
      <c r="A205" s="21">
        <v>46056</v>
      </c>
      <c r="B205">
        <v>7613</v>
      </c>
      <c r="C205">
        <v>1</v>
      </c>
      <c r="D205" t="s">
        <v>0</v>
      </c>
      <c r="E205" t="s">
        <v>1</v>
      </c>
      <c r="F205">
        <v>100</v>
      </c>
      <c r="G205" s="23">
        <v>12</v>
      </c>
      <c r="H205" s="24">
        <f t="shared" si="12"/>
        <v>606</v>
      </c>
      <c r="I205" s="25"/>
      <c r="J205" s="15">
        <f t="shared" si="1"/>
        <v>0</v>
      </c>
      <c r="K205" s="2"/>
    </row>
    <row r="206" spans="1:15" x14ac:dyDescent="0.3">
      <c r="A206" s="21">
        <v>46056</v>
      </c>
      <c r="B206">
        <v>7614</v>
      </c>
      <c r="C206">
        <v>1</v>
      </c>
      <c r="D206" t="s">
        <v>15</v>
      </c>
      <c r="E206" t="s">
        <v>14</v>
      </c>
      <c r="F206">
        <v>36</v>
      </c>
      <c r="G206" s="23">
        <v>0</v>
      </c>
      <c r="H206" s="24">
        <f t="shared" si="12"/>
        <v>216</v>
      </c>
      <c r="I206" s="25"/>
      <c r="J206" s="15">
        <f t="shared" si="1"/>
        <v>0</v>
      </c>
      <c r="K206" s="2"/>
    </row>
    <row r="207" spans="1:15" x14ac:dyDescent="0.3">
      <c r="A207" s="21">
        <v>46056</v>
      </c>
      <c r="B207">
        <v>7615</v>
      </c>
      <c r="C207">
        <v>1</v>
      </c>
      <c r="D207" t="s">
        <v>17</v>
      </c>
      <c r="E207" t="s">
        <v>14</v>
      </c>
      <c r="F207">
        <v>33</v>
      </c>
      <c r="G207" s="23">
        <v>6</v>
      </c>
      <c r="H207" s="24">
        <f t="shared" si="12"/>
        <v>201</v>
      </c>
      <c r="I207" s="25"/>
      <c r="J207" s="15">
        <f t="shared" si="1"/>
        <v>0</v>
      </c>
      <c r="K207" s="2"/>
    </row>
    <row r="208" spans="1:15" x14ac:dyDescent="0.3">
      <c r="A208" s="21">
        <v>46056</v>
      </c>
      <c r="B208">
        <v>7616</v>
      </c>
      <c r="C208">
        <v>1</v>
      </c>
      <c r="D208" t="s">
        <v>28</v>
      </c>
      <c r="E208" t="s">
        <v>14</v>
      </c>
      <c r="F208">
        <v>33</v>
      </c>
      <c r="G208" s="23">
        <v>10</v>
      </c>
      <c r="H208" s="24">
        <f t="shared" si="12"/>
        <v>203</v>
      </c>
      <c r="I208" s="25"/>
      <c r="J208" s="15">
        <f t="shared" si="1"/>
        <v>0</v>
      </c>
      <c r="K208" s="2"/>
    </row>
    <row r="209" spans="1:15" x14ac:dyDescent="0.3">
      <c r="A209" s="21">
        <v>46056</v>
      </c>
      <c r="B209">
        <v>7617</v>
      </c>
      <c r="C209">
        <v>1</v>
      </c>
      <c r="D209" s="22" t="s">
        <v>18</v>
      </c>
      <c r="E209" s="28" t="s">
        <v>20</v>
      </c>
      <c r="F209">
        <v>99</v>
      </c>
      <c r="G209" s="23">
        <v>5</v>
      </c>
      <c r="H209" s="24">
        <f>+F209*6+G209*1</f>
        <v>599</v>
      </c>
      <c r="I209" s="25"/>
      <c r="J209" s="15">
        <f t="shared" si="1"/>
        <v>0</v>
      </c>
      <c r="K209" s="2"/>
    </row>
    <row r="210" spans="1:15" x14ac:dyDescent="0.3">
      <c r="A210" s="21">
        <v>46056</v>
      </c>
      <c r="B210">
        <v>7617</v>
      </c>
      <c r="C210">
        <v>2</v>
      </c>
      <c r="D210" s="22" t="s">
        <v>18</v>
      </c>
      <c r="E210" s="28" t="s">
        <v>20</v>
      </c>
      <c r="F210">
        <v>44</v>
      </c>
      <c r="G210" s="23">
        <v>4</v>
      </c>
      <c r="H210" s="24">
        <f>+F210*9+G210*1</f>
        <v>400</v>
      </c>
      <c r="I210" s="25"/>
      <c r="J210" s="15">
        <f t="shared" si="1"/>
        <v>0</v>
      </c>
      <c r="K210" s="2"/>
    </row>
    <row r="211" spans="1:15" x14ac:dyDescent="0.3">
      <c r="A211" s="4">
        <v>46056</v>
      </c>
      <c r="B211" s="1">
        <v>7618</v>
      </c>
      <c r="C211" s="1">
        <v>1</v>
      </c>
      <c r="D211" s="26" t="s">
        <v>18</v>
      </c>
      <c r="E211" s="55" t="s">
        <v>20</v>
      </c>
      <c r="F211" s="1">
        <v>255</v>
      </c>
      <c r="G211" s="5">
        <v>31</v>
      </c>
      <c r="H211" s="6">
        <f>+F211*9+G211*1</f>
        <v>2326</v>
      </c>
      <c r="I211" s="7"/>
      <c r="J211" s="8">
        <f t="shared" si="1"/>
        <v>0</v>
      </c>
      <c r="K211" s="9"/>
      <c r="L211" s="1"/>
      <c r="M211" s="1"/>
      <c r="N211" s="1"/>
      <c r="O211" s="1"/>
    </row>
    <row r="212" spans="1:15" x14ac:dyDescent="0.3">
      <c r="A212" s="21">
        <v>46057</v>
      </c>
      <c r="B212">
        <v>7619</v>
      </c>
      <c r="C212">
        <v>1</v>
      </c>
      <c r="D212" s="22" t="s">
        <v>7</v>
      </c>
      <c r="E212" s="28" t="s">
        <v>10</v>
      </c>
      <c r="F212">
        <v>24</v>
      </c>
      <c r="G212" s="23">
        <v>0</v>
      </c>
      <c r="H212" s="24">
        <f>+F212*7+G212*1</f>
        <v>168</v>
      </c>
      <c r="I212" s="25"/>
      <c r="J212" s="15">
        <f t="shared" si="1"/>
        <v>0</v>
      </c>
      <c r="K212" s="2"/>
    </row>
    <row r="213" spans="1:15" x14ac:dyDescent="0.3">
      <c r="A213" s="21">
        <v>46057</v>
      </c>
      <c r="B213">
        <v>7619</v>
      </c>
      <c r="C213">
        <v>2</v>
      </c>
      <c r="D213" s="22" t="s">
        <v>7</v>
      </c>
      <c r="E213" t="s">
        <v>9</v>
      </c>
      <c r="F213">
        <v>25</v>
      </c>
      <c r="G213" s="23">
        <v>0</v>
      </c>
      <c r="H213" s="24">
        <f t="shared" ref="H213:H214" si="13">+F213*7+G213*1</f>
        <v>175</v>
      </c>
      <c r="I213" s="25"/>
      <c r="J213" s="15">
        <f t="shared" si="1"/>
        <v>0</v>
      </c>
      <c r="K213" s="2"/>
    </row>
    <row r="214" spans="1:15" x14ac:dyDescent="0.3">
      <c r="A214" s="21">
        <v>46057</v>
      </c>
      <c r="B214">
        <v>7619</v>
      </c>
      <c r="C214">
        <v>3</v>
      </c>
      <c r="D214" s="22" t="s">
        <v>7</v>
      </c>
      <c r="E214" t="s">
        <v>44</v>
      </c>
      <c r="F214">
        <v>1</v>
      </c>
      <c r="G214" s="23">
        <v>0</v>
      </c>
      <c r="H214" s="24">
        <f t="shared" si="13"/>
        <v>7</v>
      </c>
      <c r="I214" s="25"/>
      <c r="J214" s="15">
        <f t="shared" si="1"/>
        <v>0</v>
      </c>
      <c r="K214" s="2"/>
    </row>
    <row r="215" spans="1:15" x14ac:dyDescent="0.3">
      <c r="A215" s="21">
        <v>46057</v>
      </c>
      <c r="B215">
        <v>7619</v>
      </c>
      <c r="C215">
        <v>4</v>
      </c>
      <c r="D215" s="22" t="s">
        <v>7</v>
      </c>
      <c r="E215" t="s">
        <v>4</v>
      </c>
      <c r="F215">
        <v>40</v>
      </c>
      <c r="G215" s="23">
        <v>0</v>
      </c>
      <c r="H215" s="24">
        <f>+F215*5+G215*0.5</f>
        <v>200</v>
      </c>
      <c r="I215" s="25"/>
      <c r="J215" s="15">
        <f t="shared" si="1"/>
        <v>0</v>
      </c>
      <c r="K215" s="2"/>
    </row>
    <row r="216" spans="1:15" x14ac:dyDescent="0.3">
      <c r="A216" s="21">
        <v>46057</v>
      </c>
      <c r="B216">
        <v>7620</v>
      </c>
      <c r="C216">
        <v>1</v>
      </c>
      <c r="D216" s="22" t="s">
        <v>18</v>
      </c>
      <c r="E216" s="28" t="s">
        <v>20</v>
      </c>
      <c r="F216">
        <v>61</v>
      </c>
      <c r="G216" s="23">
        <v>6</v>
      </c>
      <c r="H216" s="24">
        <f>+F216*9+G216*1</f>
        <v>555</v>
      </c>
      <c r="I216" s="25"/>
      <c r="J216" s="15">
        <f t="shared" si="1"/>
        <v>0</v>
      </c>
      <c r="K216" s="2"/>
    </row>
    <row r="217" spans="1:15" x14ac:dyDescent="0.3">
      <c r="A217" s="21">
        <v>46057</v>
      </c>
      <c r="B217">
        <v>7620</v>
      </c>
      <c r="C217">
        <v>2</v>
      </c>
      <c r="D217" s="22" t="s">
        <v>18</v>
      </c>
      <c r="E217" t="s">
        <v>45</v>
      </c>
      <c r="F217">
        <v>86</v>
      </c>
      <c r="G217" s="23">
        <v>18</v>
      </c>
      <c r="H217" s="24">
        <f>+F217*9+G217*1</f>
        <v>792</v>
      </c>
      <c r="I217" s="25"/>
      <c r="J217" s="15">
        <f t="shared" si="1"/>
        <v>0</v>
      </c>
      <c r="K217" s="2"/>
    </row>
    <row r="218" spans="1:15" x14ac:dyDescent="0.3">
      <c r="A218" s="4">
        <v>46057</v>
      </c>
      <c r="B218" s="1">
        <v>7620</v>
      </c>
      <c r="C218" s="1">
        <v>3</v>
      </c>
      <c r="D218" s="26" t="s">
        <v>18</v>
      </c>
      <c r="E218" s="55" t="s">
        <v>20</v>
      </c>
      <c r="F218" s="1">
        <v>33</v>
      </c>
      <c r="G218" s="5">
        <v>1</v>
      </c>
      <c r="H218" s="6">
        <f>+F218*6+G218*1</f>
        <v>199</v>
      </c>
      <c r="I218" s="7"/>
      <c r="J218" s="8">
        <f t="shared" si="1"/>
        <v>0</v>
      </c>
      <c r="K218" s="9"/>
      <c r="L218" s="1"/>
      <c r="M218" s="1"/>
      <c r="N218" s="1"/>
      <c r="O218" s="1"/>
    </row>
    <row r="219" spans="1:15" x14ac:dyDescent="0.3">
      <c r="A219" s="21">
        <v>46058</v>
      </c>
      <c r="B219">
        <v>7621</v>
      </c>
      <c r="C219">
        <v>1</v>
      </c>
      <c r="D219" t="s">
        <v>17</v>
      </c>
      <c r="E219" t="s">
        <v>14</v>
      </c>
      <c r="F219">
        <v>233</v>
      </c>
      <c r="G219" s="23">
        <v>46</v>
      </c>
      <c r="H219" s="24">
        <f t="shared" si="12"/>
        <v>1421</v>
      </c>
      <c r="I219" s="25"/>
      <c r="J219" s="15">
        <f t="shared" si="1"/>
        <v>0</v>
      </c>
      <c r="K219" s="2"/>
    </row>
    <row r="220" spans="1:15" x14ac:dyDescent="0.3">
      <c r="A220" s="21">
        <v>46058</v>
      </c>
      <c r="B220">
        <v>7622</v>
      </c>
      <c r="C220">
        <v>1</v>
      </c>
      <c r="D220" t="s">
        <v>28</v>
      </c>
      <c r="E220" t="s">
        <v>1</v>
      </c>
      <c r="F220">
        <v>33</v>
      </c>
      <c r="G220" s="23">
        <v>11</v>
      </c>
      <c r="H220" s="24">
        <f t="shared" si="12"/>
        <v>203.5</v>
      </c>
      <c r="I220" s="25"/>
      <c r="J220" s="15">
        <f t="shared" si="1"/>
        <v>0</v>
      </c>
      <c r="K220" s="2"/>
    </row>
    <row r="221" spans="1:15" x14ac:dyDescent="0.3">
      <c r="A221" s="21">
        <v>46058</v>
      </c>
      <c r="B221">
        <v>7623</v>
      </c>
      <c r="C221">
        <v>1</v>
      </c>
      <c r="D221" s="22" t="s">
        <v>18</v>
      </c>
      <c r="E221" s="28" t="s">
        <v>20</v>
      </c>
      <c r="F221">
        <v>59</v>
      </c>
      <c r="G221" s="23">
        <v>15</v>
      </c>
      <c r="H221" s="24">
        <f>+F221*9+G221*1</f>
        <v>546</v>
      </c>
      <c r="I221" s="25"/>
      <c r="J221" s="15">
        <f t="shared" si="1"/>
        <v>0</v>
      </c>
      <c r="K221" s="2"/>
    </row>
    <row r="222" spans="1:15" x14ac:dyDescent="0.3">
      <c r="A222" s="21">
        <v>46058</v>
      </c>
      <c r="B222">
        <v>7624</v>
      </c>
      <c r="C222">
        <v>1</v>
      </c>
      <c r="D222" t="s">
        <v>41</v>
      </c>
      <c r="E222" t="s">
        <v>14</v>
      </c>
      <c r="F222">
        <v>35</v>
      </c>
      <c r="G222" s="23">
        <v>5</v>
      </c>
      <c r="H222" s="24">
        <f t="shared" si="12"/>
        <v>212.5</v>
      </c>
      <c r="I222" s="25"/>
      <c r="J222" s="15">
        <f t="shared" si="1"/>
        <v>0</v>
      </c>
      <c r="K222" s="2"/>
    </row>
    <row r="223" spans="1:15" x14ac:dyDescent="0.3">
      <c r="A223" s="21">
        <v>46058</v>
      </c>
      <c r="B223">
        <v>7625</v>
      </c>
      <c r="C223">
        <v>1</v>
      </c>
      <c r="D223" t="s">
        <v>0</v>
      </c>
      <c r="E223" t="s">
        <v>14</v>
      </c>
      <c r="F223">
        <v>33</v>
      </c>
      <c r="G223" s="23">
        <v>9</v>
      </c>
      <c r="H223" s="24">
        <f t="shared" si="12"/>
        <v>202.5</v>
      </c>
      <c r="I223" s="25"/>
      <c r="J223" s="15">
        <f t="shared" si="1"/>
        <v>0</v>
      </c>
      <c r="K223" s="2"/>
    </row>
    <row r="224" spans="1:15" x14ac:dyDescent="0.3">
      <c r="A224" s="21">
        <v>46058</v>
      </c>
      <c r="B224">
        <v>7626</v>
      </c>
      <c r="C224">
        <v>1</v>
      </c>
      <c r="D224" t="s">
        <v>16</v>
      </c>
      <c r="E224" t="s">
        <v>14</v>
      </c>
      <c r="F224">
        <v>233</v>
      </c>
      <c r="G224" s="23">
        <v>61</v>
      </c>
      <c r="H224" s="24">
        <f t="shared" si="12"/>
        <v>1428.5</v>
      </c>
      <c r="I224" s="25"/>
      <c r="J224" s="15">
        <f t="shared" si="1"/>
        <v>0</v>
      </c>
      <c r="K224" s="2"/>
    </row>
    <row r="225" spans="1:15" x14ac:dyDescent="0.3">
      <c r="A225" s="21">
        <v>46058</v>
      </c>
      <c r="B225">
        <v>7627</v>
      </c>
      <c r="C225">
        <v>1</v>
      </c>
      <c r="D225" t="s">
        <v>2</v>
      </c>
      <c r="E225" t="s">
        <v>46</v>
      </c>
      <c r="F225">
        <v>4</v>
      </c>
      <c r="G225" s="23">
        <v>0</v>
      </c>
      <c r="H225" s="24">
        <f>+F225*5+G225*0.5</f>
        <v>20</v>
      </c>
      <c r="I225" s="25"/>
      <c r="J225" s="15">
        <f t="shared" si="1"/>
        <v>0</v>
      </c>
      <c r="K225" s="2"/>
    </row>
    <row r="226" spans="1:15" x14ac:dyDescent="0.3">
      <c r="A226" s="4">
        <v>46058</v>
      </c>
      <c r="B226" s="1">
        <v>7627</v>
      </c>
      <c r="C226" s="1">
        <v>2</v>
      </c>
      <c r="D226" s="1" t="s">
        <v>2</v>
      </c>
      <c r="E226" s="1" t="s">
        <v>47</v>
      </c>
      <c r="F226" s="1">
        <v>1</v>
      </c>
      <c r="G226" s="5">
        <v>0</v>
      </c>
      <c r="H226" s="6">
        <f>+F226*7+G226*0.5</f>
        <v>7</v>
      </c>
      <c r="I226" s="7"/>
      <c r="J226" s="8">
        <f t="shared" si="1"/>
        <v>0</v>
      </c>
      <c r="K226" s="9"/>
      <c r="L226" s="1"/>
      <c r="M226" s="1"/>
      <c r="N226" s="1"/>
      <c r="O226" s="1"/>
    </row>
    <row r="227" spans="1:15" x14ac:dyDescent="0.3">
      <c r="A227" s="21">
        <v>46059</v>
      </c>
      <c r="B227">
        <v>7628</v>
      </c>
      <c r="C227">
        <v>1</v>
      </c>
      <c r="D227" t="s">
        <v>36</v>
      </c>
      <c r="E227" t="s">
        <v>14</v>
      </c>
      <c r="F227">
        <v>132</v>
      </c>
      <c r="G227" s="23">
        <v>31</v>
      </c>
      <c r="H227" s="24">
        <f t="shared" si="12"/>
        <v>807.5</v>
      </c>
      <c r="I227" s="25"/>
      <c r="J227" s="15">
        <f t="shared" si="1"/>
        <v>0</v>
      </c>
      <c r="K227" s="2"/>
    </row>
    <row r="228" spans="1:15" x14ac:dyDescent="0.3">
      <c r="A228" s="21">
        <v>46059</v>
      </c>
      <c r="B228">
        <v>7629</v>
      </c>
      <c r="C228">
        <v>1</v>
      </c>
      <c r="D228" t="s">
        <v>29</v>
      </c>
      <c r="E228" t="s">
        <v>14</v>
      </c>
      <c r="F228">
        <v>33</v>
      </c>
      <c r="G228" s="23">
        <v>6</v>
      </c>
      <c r="H228" s="24">
        <f t="shared" si="12"/>
        <v>201</v>
      </c>
      <c r="I228" s="25"/>
      <c r="J228" s="15">
        <f t="shared" si="1"/>
        <v>0</v>
      </c>
      <c r="K228" s="2"/>
    </row>
    <row r="229" spans="1:15" x14ac:dyDescent="0.3">
      <c r="A229" s="21">
        <v>46059</v>
      </c>
      <c r="B229">
        <v>7630</v>
      </c>
      <c r="C229">
        <v>1</v>
      </c>
      <c r="D229" t="s">
        <v>17</v>
      </c>
      <c r="E229" t="s">
        <v>14</v>
      </c>
      <c r="F229">
        <v>134</v>
      </c>
      <c r="G229" s="23">
        <v>32</v>
      </c>
      <c r="H229" s="24">
        <f t="shared" si="12"/>
        <v>820</v>
      </c>
      <c r="I229" s="25"/>
      <c r="J229" s="15">
        <f t="shared" si="1"/>
        <v>0</v>
      </c>
      <c r="K229" s="2"/>
    </row>
    <row r="230" spans="1:15" x14ac:dyDescent="0.3">
      <c r="A230" s="21">
        <v>46059</v>
      </c>
      <c r="B230">
        <v>7631</v>
      </c>
      <c r="C230">
        <v>1</v>
      </c>
      <c r="D230" s="22" t="s">
        <v>48</v>
      </c>
      <c r="E230" t="s">
        <v>14</v>
      </c>
      <c r="F230">
        <v>33</v>
      </c>
      <c r="G230" s="23">
        <v>9</v>
      </c>
      <c r="H230" s="24">
        <f t="shared" si="12"/>
        <v>202.5</v>
      </c>
      <c r="I230" s="25"/>
      <c r="J230" s="15">
        <f t="shared" si="1"/>
        <v>0</v>
      </c>
      <c r="K230" s="2"/>
    </row>
    <row r="231" spans="1:15" x14ac:dyDescent="0.3">
      <c r="A231" s="21">
        <v>46059</v>
      </c>
      <c r="B231">
        <v>7632</v>
      </c>
      <c r="C231">
        <v>1</v>
      </c>
      <c r="D231" s="22" t="s">
        <v>18</v>
      </c>
      <c r="E231" s="28" t="s">
        <v>20</v>
      </c>
      <c r="F231">
        <v>21</v>
      </c>
      <c r="G231" s="23">
        <v>8</v>
      </c>
      <c r="H231" s="24">
        <f>+F231*9+G231*1</f>
        <v>197</v>
      </c>
      <c r="I231" s="25"/>
      <c r="J231" s="15">
        <f t="shared" si="1"/>
        <v>0</v>
      </c>
      <c r="K231" s="2"/>
    </row>
    <row r="232" spans="1:15" x14ac:dyDescent="0.3">
      <c r="A232" s="21">
        <v>46059</v>
      </c>
      <c r="B232">
        <v>7633</v>
      </c>
      <c r="C232">
        <v>1</v>
      </c>
      <c r="D232" s="22" t="s">
        <v>7</v>
      </c>
      <c r="E232" t="s">
        <v>8</v>
      </c>
      <c r="F232">
        <v>41</v>
      </c>
      <c r="G232" s="23">
        <v>0</v>
      </c>
      <c r="H232" s="24">
        <f>+F232*5+G232*0.5</f>
        <v>205</v>
      </c>
      <c r="I232" s="25"/>
      <c r="J232" s="15">
        <f t="shared" si="1"/>
        <v>0</v>
      </c>
      <c r="K232" s="2"/>
    </row>
    <row r="233" spans="1:15" x14ac:dyDescent="0.3">
      <c r="A233" s="21">
        <v>46059</v>
      </c>
      <c r="B233">
        <v>7634</v>
      </c>
      <c r="C233">
        <v>1</v>
      </c>
      <c r="D233" t="s">
        <v>17</v>
      </c>
      <c r="E233" t="s">
        <v>14</v>
      </c>
      <c r="F233">
        <v>266</v>
      </c>
      <c r="G233" s="23">
        <v>52</v>
      </c>
      <c r="H233" s="24">
        <f t="shared" si="12"/>
        <v>1622</v>
      </c>
      <c r="I233" s="25"/>
      <c r="J233" s="15">
        <f t="shared" si="1"/>
        <v>0</v>
      </c>
      <c r="K233" s="2"/>
    </row>
    <row r="234" spans="1:15" x14ac:dyDescent="0.3">
      <c r="A234" s="21">
        <v>46059</v>
      </c>
      <c r="B234">
        <v>7635</v>
      </c>
      <c r="C234">
        <v>1</v>
      </c>
      <c r="D234" t="s">
        <v>17</v>
      </c>
      <c r="E234" t="s">
        <v>1</v>
      </c>
      <c r="F234">
        <v>168</v>
      </c>
      <c r="G234" s="23">
        <v>21</v>
      </c>
      <c r="H234" s="24">
        <f t="shared" si="12"/>
        <v>1018.5</v>
      </c>
      <c r="I234" s="25"/>
      <c r="J234" s="15">
        <f t="shared" si="1"/>
        <v>0</v>
      </c>
      <c r="K234" s="2"/>
    </row>
    <row r="235" spans="1:15" x14ac:dyDescent="0.3">
      <c r="A235" s="4">
        <v>46059</v>
      </c>
      <c r="B235" s="1">
        <v>7636</v>
      </c>
      <c r="C235" s="1">
        <v>1</v>
      </c>
      <c r="D235" s="26" t="s">
        <v>18</v>
      </c>
      <c r="E235" s="55" t="s">
        <v>20</v>
      </c>
      <c r="F235" s="1">
        <v>146</v>
      </c>
      <c r="G235" s="5">
        <v>25</v>
      </c>
      <c r="H235" s="6">
        <f>+F235*9+G235*1</f>
        <v>1339</v>
      </c>
      <c r="I235" s="7"/>
      <c r="J235" s="8">
        <f t="shared" si="1"/>
        <v>0</v>
      </c>
      <c r="K235" s="9"/>
      <c r="L235" s="1"/>
      <c r="M235" s="1"/>
      <c r="N235" s="1"/>
      <c r="O235" s="1"/>
    </row>
    <row r="236" spans="1:15" x14ac:dyDescent="0.3">
      <c r="A236" s="21">
        <v>46060</v>
      </c>
      <c r="B236">
        <v>7637</v>
      </c>
      <c r="C236">
        <v>1</v>
      </c>
      <c r="D236" t="s">
        <v>35</v>
      </c>
      <c r="E236" s="28" t="s">
        <v>20</v>
      </c>
      <c r="F236">
        <v>63</v>
      </c>
      <c r="G236" s="23">
        <v>2</v>
      </c>
      <c r="H236" s="24">
        <f>+F236*6+G236*1</f>
        <v>380</v>
      </c>
      <c r="I236" s="25"/>
      <c r="J236" s="15">
        <f t="shared" si="1"/>
        <v>0</v>
      </c>
      <c r="K236" s="2"/>
    </row>
    <row r="237" spans="1:15" x14ac:dyDescent="0.3">
      <c r="A237" s="21">
        <v>46060</v>
      </c>
      <c r="B237">
        <v>7638</v>
      </c>
      <c r="C237">
        <v>1</v>
      </c>
      <c r="D237" t="s">
        <v>27</v>
      </c>
      <c r="E237" t="s">
        <v>14</v>
      </c>
      <c r="F237">
        <v>33</v>
      </c>
      <c r="G237" s="23">
        <v>4</v>
      </c>
      <c r="H237" s="24">
        <f>+F237*6+G237*0.5</f>
        <v>200</v>
      </c>
      <c r="I237" s="25"/>
      <c r="J237" s="15">
        <f t="shared" si="1"/>
        <v>0</v>
      </c>
      <c r="K237" s="2"/>
    </row>
    <row r="238" spans="1:15" x14ac:dyDescent="0.3">
      <c r="A238" s="21">
        <v>46060</v>
      </c>
      <c r="B238">
        <v>7639</v>
      </c>
      <c r="C238">
        <v>1</v>
      </c>
      <c r="D238" t="s">
        <v>0</v>
      </c>
      <c r="E238" t="s">
        <v>1</v>
      </c>
      <c r="F238">
        <v>33</v>
      </c>
      <c r="G238" s="23">
        <v>11</v>
      </c>
      <c r="H238" s="24">
        <f>+F238*6+G238*0.5</f>
        <v>203.5</v>
      </c>
      <c r="I238" s="25"/>
      <c r="J238" s="15">
        <f t="shared" si="1"/>
        <v>0</v>
      </c>
      <c r="K238" s="2"/>
    </row>
    <row r="239" spans="1:15" x14ac:dyDescent="0.3">
      <c r="A239" s="21">
        <v>46060</v>
      </c>
      <c r="B239">
        <v>7640</v>
      </c>
      <c r="C239">
        <v>1</v>
      </c>
      <c r="D239" t="s">
        <v>16</v>
      </c>
      <c r="E239" t="s">
        <v>14</v>
      </c>
      <c r="F239">
        <v>33</v>
      </c>
      <c r="G239" s="23">
        <v>9</v>
      </c>
      <c r="H239" s="24">
        <f>+F239*6+G239*0.5</f>
        <v>202.5</v>
      </c>
      <c r="I239" s="25"/>
      <c r="J239" s="15">
        <f t="shared" si="1"/>
        <v>0</v>
      </c>
      <c r="K239" s="2"/>
    </row>
    <row r="240" spans="1:15" x14ac:dyDescent="0.3">
      <c r="A240" s="21">
        <v>46060</v>
      </c>
      <c r="B240">
        <v>7641</v>
      </c>
      <c r="C240">
        <v>1</v>
      </c>
      <c r="D240" t="s">
        <v>29</v>
      </c>
      <c r="E240" t="s">
        <v>14</v>
      </c>
      <c r="F240">
        <v>99</v>
      </c>
      <c r="G240" s="23">
        <v>24</v>
      </c>
      <c r="H240" s="24">
        <f>+F240*6+G240*0.5</f>
        <v>606</v>
      </c>
      <c r="I240" s="25"/>
      <c r="J240" s="15">
        <f t="shared" si="1"/>
        <v>0</v>
      </c>
      <c r="K240" s="2"/>
    </row>
    <row r="241" spans="1:15" x14ac:dyDescent="0.3">
      <c r="A241" s="21">
        <v>46060</v>
      </c>
      <c r="B241">
        <v>7642</v>
      </c>
      <c r="C241">
        <v>1</v>
      </c>
      <c r="D241" t="s">
        <v>29</v>
      </c>
      <c r="E241" t="s">
        <v>1</v>
      </c>
      <c r="F241">
        <v>33</v>
      </c>
      <c r="G241" s="23">
        <v>9</v>
      </c>
      <c r="H241" s="24">
        <f>+F241*6+G241*0.5</f>
        <v>202.5</v>
      </c>
      <c r="I241" s="25"/>
      <c r="J241" s="15">
        <f t="shared" si="1"/>
        <v>0</v>
      </c>
      <c r="K241" s="2"/>
    </row>
    <row r="242" spans="1:15" x14ac:dyDescent="0.3">
      <c r="A242" s="21">
        <v>46060</v>
      </c>
      <c r="B242">
        <v>7643</v>
      </c>
      <c r="C242">
        <v>1</v>
      </c>
      <c r="D242" t="s">
        <v>23</v>
      </c>
      <c r="E242" t="s">
        <v>14</v>
      </c>
      <c r="F242">
        <v>35</v>
      </c>
      <c r="G242" s="23">
        <v>5</v>
      </c>
      <c r="H242" s="24">
        <f t="shared" si="12"/>
        <v>212.5</v>
      </c>
      <c r="I242" s="25"/>
      <c r="J242" s="15">
        <f t="shared" si="1"/>
        <v>0</v>
      </c>
      <c r="K242" s="2"/>
    </row>
    <row r="243" spans="1:15" x14ac:dyDescent="0.3">
      <c r="A243" s="21">
        <v>46060</v>
      </c>
      <c r="B243">
        <v>7644</v>
      </c>
      <c r="C243">
        <v>1</v>
      </c>
      <c r="D243" t="s">
        <v>17</v>
      </c>
      <c r="E243" t="s">
        <v>14</v>
      </c>
      <c r="F243">
        <v>35</v>
      </c>
      <c r="G243" s="23">
        <v>10</v>
      </c>
      <c r="H243" s="24">
        <f t="shared" si="12"/>
        <v>215</v>
      </c>
      <c r="I243" s="25"/>
      <c r="J243" s="15">
        <f t="shared" si="1"/>
        <v>0</v>
      </c>
      <c r="K243" s="2"/>
    </row>
    <row r="244" spans="1:15" x14ac:dyDescent="0.3">
      <c r="A244" s="21">
        <v>46060</v>
      </c>
      <c r="B244">
        <v>7645</v>
      </c>
      <c r="C244">
        <v>1</v>
      </c>
      <c r="D244" t="s">
        <v>15</v>
      </c>
      <c r="E244" t="s">
        <v>14</v>
      </c>
      <c r="F244">
        <v>66</v>
      </c>
      <c r="G244" s="23">
        <v>21</v>
      </c>
      <c r="H244" s="24">
        <f t="shared" si="12"/>
        <v>406.5</v>
      </c>
      <c r="I244" s="25"/>
      <c r="J244" s="15">
        <f t="shared" si="1"/>
        <v>0</v>
      </c>
      <c r="K244" s="2"/>
    </row>
    <row r="245" spans="1:15" x14ac:dyDescent="0.3">
      <c r="A245" s="4">
        <v>46060</v>
      </c>
      <c r="B245" s="1">
        <v>7646</v>
      </c>
      <c r="C245" s="1">
        <v>1</v>
      </c>
      <c r="D245" s="26" t="s">
        <v>18</v>
      </c>
      <c r="E245" s="55" t="s">
        <v>20</v>
      </c>
      <c r="F245" s="1">
        <v>66</v>
      </c>
      <c r="G245" s="5">
        <v>2</v>
      </c>
      <c r="H245" s="6">
        <f>+F245*9+G245*1</f>
        <v>596</v>
      </c>
      <c r="I245" s="7"/>
      <c r="J245" s="8">
        <f t="shared" si="1"/>
        <v>0</v>
      </c>
      <c r="K245" s="9"/>
      <c r="L245" s="1"/>
      <c r="M245" s="1"/>
      <c r="N245" s="1"/>
      <c r="O245" s="1"/>
    </row>
    <row r="246" spans="1:15" x14ac:dyDescent="0.3">
      <c r="A246" s="21">
        <v>46062</v>
      </c>
      <c r="B246">
        <v>7647</v>
      </c>
      <c r="C246">
        <v>1</v>
      </c>
      <c r="D246" t="s">
        <v>11</v>
      </c>
      <c r="E246" t="s">
        <v>12</v>
      </c>
      <c r="F246">
        <v>88</v>
      </c>
      <c r="G246" s="23">
        <v>13</v>
      </c>
      <c r="H246" s="24">
        <f>+F246*6+G246*1</f>
        <v>541</v>
      </c>
      <c r="I246" s="25"/>
      <c r="J246" s="15">
        <f t="shared" si="1"/>
        <v>0</v>
      </c>
      <c r="K246" s="2"/>
    </row>
    <row r="247" spans="1:15" x14ac:dyDescent="0.3">
      <c r="A247" s="21">
        <v>46062</v>
      </c>
      <c r="B247">
        <v>7648</v>
      </c>
      <c r="C247">
        <v>1</v>
      </c>
      <c r="D247" t="s">
        <v>15</v>
      </c>
      <c r="E247" t="s">
        <v>14</v>
      </c>
      <c r="F247">
        <v>133</v>
      </c>
      <c r="G247" s="23">
        <v>13</v>
      </c>
      <c r="H247" s="24">
        <f t="shared" si="12"/>
        <v>804.5</v>
      </c>
      <c r="I247" s="25"/>
      <c r="J247" s="15">
        <f t="shared" si="1"/>
        <v>0</v>
      </c>
      <c r="K247" s="2"/>
    </row>
    <row r="248" spans="1:15" x14ac:dyDescent="0.3">
      <c r="A248" s="21">
        <v>46062</v>
      </c>
      <c r="B248">
        <v>7649</v>
      </c>
      <c r="C248">
        <v>1</v>
      </c>
      <c r="D248" t="s">
        <v>16</v>
      </c>
      <c r="E248" t="s">
        <v>14</v>
      </c>
      <c r="F248">
        <v>99</v>
      </c>
      <c r="G248" s="23">
        <v>24</v>
      </c>
      <c r="H248" s="24">
        <f t="shared" si="12"/>
        <v>606</v>
      </c>
      <c r="I248" s="25"/>
      <c r="J248" s="15">
        <f t="shared" si="1"/>
        <v>0</v>
      </c>
      <c r="K248" s="2"/>
    </row>
    <row r="249" spans="1:15" x14ac:dyDescent="0.3">
      <c r="A249" s="21">
        <v>46062</v>
      </c>
      <c r="B249">
        <v>7650</v>
      </c>
      <c r="C249">
        <v>1</v>
      </c>
      <c r="D249" t="s">
        <v>16</v>
      </c>
      <c r="E249" t="s">
        <v>1</v>
      </c>
      <c r="F249">
        <v>99</v>
      </c>
      <c r="G249" s="23">
        <v>29</v>
      </c>
      <c r="H249" s="24">
        <f t="shared" si="12"/>
        <v>608.5</v>
      </c>
      <c r="I249" s="25"/>
      <c r="J249" s="15">
        <f t="shared" si="1"/>
        <v>0</v>
      </c>
      <c r="K249" s="2"/>
    </row>
    <row r="250" spans="1:15" x14ac:dyDescent="0.3">
      <c r="A250" s="21">
        <v>46062</v>
      </c>
      <c r="B250">
        <v>7651</v>
      </c>
      <c r="C250">
        <v>1</v>
      </c>
      <c r="D250" t="s">
        <v>22</v>
      </c>
      <c r="E250" t="s">
        <v>33</v>
      </c>
      <c r="F250">
        <v>132</v>
      </c>
      <c r="G250" s="23">
        <v>11</v>
      </c>
      <c r="H250" s="24">
        <f>+F250*6+G250*1</f>
        <v>803</v>
      </c>
      <c r="I250" s="25"/>
      <c r="J250" s="15">
        <f t="shared" si="1"/>
        <v>0</v>
      </c>
      <c r="K250" s="2"/>
    </row>
    <row r="251" spans="1:15" x14ac:dyDescent="0.3">
      <c r="A251" s="21">
        <v>46062</v>
      </c>
      <c r="B251">
        <v>7652</v>
      </c>
      <c r="C251">
        <v>1</v>
      </c>
      <c r="D251" t="s">
        <v>25</v>
      </c>
      <c r="E251" t="s">
        <v>1</v>
      </c>
      <c r="F251">
        <v>33</v>
      </c>
      <c r="G251" s="23">
        <v>10</v>
      </c>
      <c r="H251" s="24">
        <f t="shared" si="12"/>
        <v>203</v>
      </c>
      <c r="I251" s="25"/>
      <c r="J251" s="15">
        <f t="shared" si="1"/>
        <v>0</v>
      </c>
      <c r="K251" s="2"/>
    </row>
    <row r="252" spans="1:15" x14ac:dyDescent="0.3">
      <c r="A252" s="21">
        <v>46062</v>
      </c>
      <c r="B252">
        <v>7653</v>
      </c>
      <c r="C252">
        <v>1</v>
      </c>
      <c r="D252" t="s">
        <v>27</v>
      </c>
      <c r="E252" t="s">
        <v>14</v>
      </c>
      <c r="F252">
        <v>66</v>
      </c>
      <c r="G252" s="23">
        <v>11</v>
      </c>
      <c r="H252" s="24">
        <f t="shared" si="12"/>
        <v>401.5</v>
      </c>
      <c r="I252" s="25"/>
      <c r="J252" s="15">
        <f t="shared" si="1"/>
        <v>0</v>
      </c>
      <c r="K252" s="2"/>
    </row>
    <row r="253" spans="1:15" x14ac:dyDescent="0.3">
      <c r="A253" s="21">
        <v>46062</v>
      </c>
      <c r="B253">
        <v>7654</v>
      </c>
      <c r="C253">
        <v>1</v>
      </c>
      <c r="D253" t="s">
        <v>26</v>
      </c>
      <c r="E253" t="s">
        <v>14</v>
      </c>
      <c r="F253">
        <v>35</v>
      </c>
      <c r="G253" s="23">
        <v>4</v>
      </c>
      <c r="H253" s="24">
        <f t="shared" si="12"/>
        <v>212</v>
      </c>
      <c r="I253" s="25"/>
      <c r="J253" s="15">
        <f t="shared" si="1"/>
        <v>0</v>
      </c>
      <c r="K253" s="2"/>
    </row>
    <row r="254" spans="1:15" x14ac:dyDescent="0.3">
      <c r="A254" s="21">
        <v>46062</v>
      </c>
      <c r="B254">
        <v>7655</v>
      </c>
      <c r="C254">
        <v>1</v>
      </c>
      <c r="D254" t="s">
        <v>17</v>
      </c>
      <c r="E254" t="s">
        <v>14</v>
      </c>
      <c r="F254">
        <v>35</v>
      </c>
      <c r="G254" s="23">
        <v>8</v>
      </c>
      <c r="H254" s="24">
        <f t="shared" si="12"/>
        <v>214</v>
      </c>
      <c r="I254" s="25"/>
      <c r="J254" s="15">
        <f t="shared" si="1"/>
        <v>0</v>
      </c>
      <c r="K254" s="2"/>
    </row>
    <row r="255" spans="1:15" x14ac:dyDescent="0.3">
      <c r="A255" s="21">
        <v>46062</v>
      </c>
      <c r="B255">
        <v>7656</v>
      </c>
      <c r="C255">
        <v>1</v>
      </c>
      <c r="D255" t="s">
        <v>16</v>
      </c>
      <c r="E255" t="s">
        <v>14</v>
      </c>
      <c r="F255">
        <v>33</v>
      </c>
      <c r="G255" s="23">
        <v>5</v>
      </c>
      <c r="H255" s="24">
        <f t="shared" si="12"/>
        <v>200.5</v>
      </c>
      <c r="I255" s="25"/>
      <c r="J255" s="15">
        <f t="shared" si="1"/>
        <v>0</v>
      </c>
      <c r="K255" s="2"/>
    </row>
    <row r="256" spans="1:15" x14ac:dyDescent="0.3">
      <c r="A256" s="4">
        <v>46062</v>
      </c>
      <c r="B256" s="1">
        <v>7657</v>
      </c>
      <c r="C256" s="1">
        <v>1</v>
      </c>
      <c r="D256" s="1" t="s">
        <v>23</v>
      </c>
      <c r="E256" s="1" t="s">
        <v>14</v>
      </c>
      <c r="F256" s="1">
        <v>66</v>
      </c>
      <c r="G256" s="5">
        <v>18</v>
      </c>
      <c r="H256" s="6">
        <f t="shared" si="12"/>
        <v>405</v>
      </c>
      <c r="I256" s="7"/>
      <c r="J256" s="8">
        <f t="shared" si="1"/>
        <v>0</v>
      </c>
      <c r="K256" s="9"/>
      <c r="L256" s="1"/>
      <c r="M256" s="1"/>
      <c r="N256" s="1"/>
      <c r="O256" s="1"/>
    </row>
    <row r="257" spans="1:15" x14ac:dyDescent="0.3">
      <c r="A257" s="21">
        <v>46063</v>
      </c>
      <c r="B257">
        <v>7658</v>
      </c>
      <c r="C257">
        <v>1</v>
      </c>
      <c r="D257" t="s">
        <v>22</v>
      </c>
      <c r="E257" t="s">
        <v>33</v>
      </c>
      <c r="F257">
        <v>94</v>
      </c>
      <c r="G257" s="23">
        <v>15</v>
      </c>
      <c r="H257" s="24">
        <f>+F257*6+G257*1</f>
        <v>579</v>
      </c>
      <c r="I257" s="25"/>
      <c r="J257" s="15">
        <f t="shared" ref="J257:J512" si="14">+H257*I257</f>
        <v>0</v>
      </c>
      <c r="K257" s="2"/>
    </row>
    <row r="258" spans="1:15" x14ac:dyDescent="0.3">
      <c r="A258" s="21">
        <v>46063</v>
      </c>
      <c r="B258">
        <v>7659</v>
      </c>
      <c r="C258">
        <v>1</v>
      </c>
      <c r="D258" t="s">
        <v>16</v>
      </c>
      <c r="E258" t="s">
        <v>14</v>
      </c>
      <c r="F258">
        <v>134</v>
      </c>
      <c r="G258" s="23">
        <v>22</v>
      </c>
      <c r="H258" s="24">
        <f t="shared" si="12"/>
        <v>815</v>
      </c>
      <c r="I258" s="25"/>
      <c r="J258" s="15">
        <f t="shared" si="14"/>
        <v>0</v>
      </c>
      <c r="K258" s="2"/>
    </row>
    <row r="259" spans="1:15" x14ac:dyDescent="0.3">
      <c r="A259" s="21">
        <v>46063</v>
      </c>
      <c r="B259">
        <v>7660</v>
      </c>
      <c r="C259">
        <v>1</v>
      </c>
      <c r="D259" t="s">
        <v>16</v>
      </c>
      <c r="E259" t="s">
        <v>1</v>
      </c>
      <c r="F259">
        <v>33</v>
      </c>
      <c r="G259" s="23">
        <v>0</v>
      </c>
      <c r="H259" s="24">
        <f t="shared" si="12"/>
        <v>198</v>
      </c>
      <c r="I259" s="25"/>
      <c r="J259" s="15">
        <f t="shared" si="14"/>
        <v>0</v>
      </c>
      <c r="K259" s="2"/>
    </row>
    <row r="260" spans="1:15" x14ac:dyDescent="0.3">
      <c r="A260" s="21">
        <v>46063</v>
      </c>
      <c r="B260">
        <v>7661</v>
      </c>
      <c r="C260">
        <v>1</v>
      </c>
      <c r="D260" t="s">
        <v>17</v>
      </c>
      <c r="E260" t="s">
        <v>1</v>
      </c>
      <c r="F260">
        <v>33</v>
      </c>
      <c r="G260" s="23">
        <v>10</v>
      </c>
      <c r="H260" s="24">
        <f t="shared" si="12"/>
        <v>203</v>
      </c>
      <c r="I260" s="25"/>
      <c r="J260" s="15">
        <f t="shared" si="14"/>
        <v>0</v>
      </c>
      <c r="K260" s="2"/>
    </row>
    <row r="261" spans="1:15" x14ac:dyDescent="0.3">
      <c r="A261" s="21">
        <v>46063</v>
      </c>
      <c r="B261">
        <v>7662</v>
      </c>
      <c r="C261">
        <v>1</v>
      </c>
      <c r="D261" t="s">
        <v>27</v>
      </c>
      <c r="E261" t="s">
        <v>14</v>
      </c>
      <c r="F261">
        <v>33</v>
      </c>
      <c r="G261" s="23">
        <v>8</v>
      </c>
      <c r="H261" s="24">
        <f t="shared" si="12"/>
        <v>202</v>
      </c>
      <c r="I261" s="25"/>
      <c r="J261" s="15">
        <f t="shared" si="14"/>
        <v>0</v>
      </c>
      <c r="K261" s="2"/>
    </row>
    <row r="262" spans="1:15" x14ac:dyDescent="0.3">
      <c r="A262" s="21">
        <v>46063</v>
      </c>
      <c r="B262">
        <v>7663</v>
      </c>
      <c r="C262">
        <v>1</v>
      </c>
      <c r="D262" s="22" t="s">
        <v>7</v>
      </c>
      <c r="E262" t="s">
        <v>8</v>
      </c>
      <c r="F262">
        <v>42</v>
      </c>
      <c r="G262" s="23">
        <v>0</v>
      </c>
      <c r="H262" s="24">
        <f>+F262*5+G262*0.5</f>
        <v>210</v>
      </c>
      <c r="I262" s="25"/>
      <c r="J262" s="15">
        <f t="shared" si="14"/>
        <v>0</v>
      </c>
      <c r="K262" s="2"/>
    </row>
    <row r="263" spans="1:15" x14ac:dyDescent="0.3">
      <c r="A263" s="4">
        <v>46063</v>
      </c>
      <c r="B263" s="1">
        <v>7664</v>
      </c>
      <c r="C263" s="1">
        <v>1</v>
      </c>
      <c r="D263" s="26" t="s">
        <v>18</v>
      </c>
      <c r="E263" s="55" t="s">
        <v>20</v>
      </c>
      <c r="F263" s="1">
        <v>41</v>
      </c>
      <c r="G263" s="5">
        <v>7</v>
      </c>
      <c r="H263" s="6">
        <f>+F263*9+G263*1</f>
        <v>376</v>
      </c>
      <c r="I263" s="7"/>
      <c r="J263" s="8">
        <f t="shared" si="14"/>
        <v>0</v>
      </c>
      <c r="K263" s="9"/>
      <c r="L263" s="1"/>
      <c r="M263" s="1"/>
      <c r="N263" s="1"/>
      <c r="O263" s="1"/>
    </row>
    <row r="264" spans="1:15" x14ac:dyDescent="0.3">
      <c r="A264" s="21">
        <v>46064</v>
      </c>
      <c r="B264">
        <v>7665</v>
      </c>
      <c r="C264">
        <v>1</v>
      </c>
      <c r="D264" s="22" t="s">
        <v>7</v>
      </c>
      <c r="E264" t="s">
        <v>8</v>
      </c>
      <c r="F264">
        <v>248</v>
      </c>
      <c r="G264" s="23">
        <v>0</v>
      </c>
      <c r="H264" s="24">
        <f>+F264*5+G264*0.5</f>
        <v>1240</v>
      </c>
      <c r="I264" s="25"/>
      <c r="J264" s="15">
        <f t="shared" si="14"/>
        <v>0</v>
      </c>
      <c r="K264" s="2"/>
    </row>
    <row r="265" spans="1:15" x14ac:dyDescent="0.3">
      <c r="A265" s="21">
        <v>46064</v>
      </c>
      <c r="B265">
        <v>7665</v>
      </c>
      <c r="C265">
        <v>2</v>
      </c>
      <c r="D265" s="22" t="s">
        <v>7</v>
      </c>
      <c r="E265" t="s">
        <v>49</v>
      </c>
      <c r="F265">
        <v>125</v>
      </c>
      <c r="G265" s="23">
        <v>0</v>
      </c>
      <c r="H265" s="24">
        <f t="shared" si="12"/>
        <v>750</v>
      </c>
      <c r="I265" s="25"/>
      <c r="J265" s="15">
        <f t="shared" si="14"/>
        <v>0</v>
      </c>
      <c r="K265" s="2"/>
    </row>
    <row r="266" spans="1:15" x14ac:dyDescent="0.3">
      <c r="A266" s="4">
        <v>46064</v>
      </c>
      <c r="B266" s="1">
        <v>7666</v>
      </c>
      <c r="C266" s="1">
        <v>1</v>
      </c>
      <c r="D266" s="26" t="s">
        <v>18</v>
      </c>
      <c r="E266" s="55" t="s">
        <v>20</v>
      </c>
      <c r="F266" s="1">
        <v>65</v>
      </c>
      <c r="G266" s="5">
        <v>6</v>
      </c>
      <c r="H266" s="6">
        <f>+F266*9+G266*1</f>
        <v>591</v>
      </c>
      <c r="I266" s="7"/>
      <c r="J266" s="8">
        <f t="shared" si="14"/>
        <v>0</v>
      </c>
      <c r="K266" s="9"/>
      <c r="L266" s="1"/>
      <c r="M266" s="1"/>
      <c r="N266" s="1"/>
      <c r="O266" s="1"/>
    </row>
    <row r="267" spans="1:15" x14ac:dyDescent="0.3">
      <c r="A267" s="21">
        <v>46065</v>
      </c>
      <c r="B267">
        <v>7667</v>
      </c>
      <c r="C267">
        <v>1</v>
      </c>
      <c r="D267" t="s">
        <v>25</v>
      </c>
      <c r="E267" t="s">
        <v>1</v>
      </c>
      <c r="F267">
        <v>33</v>
      </c>
      <c r="G267" s="23">
        <v>11</v>
      </c>
      <c r="H267" s="24">
        <f t="shared" si="12"/>
        <v>203.5</v>
      </c>
      <c r="I267" s="25"/>
      <c r="J267" s="15">
        <f t="shared" si="14"/>
        <v>0</v>
      </c>
      <c r="K267" s="2"/>
    </row>
    <row r="268" spans="1:15" x14ac:dyDescent="0.3">
      <c r="A268" s="21">
        <v>46065</v>
      </c>
      <c r="B268">
        <v>7668</v>
      </c>
      <c r="C268">
        <v>1</v>
      </c>
      <c r="D268" t="s">
        <v>27</v>
      </c>
      <c r="E268" t="s">
        <v>14</v>
      </c>
      <c r="F268">
        <v>33</v>
      </c>
      <c r="G268" s="23">
        <v>7</v>
      </c>
      <c r="H268" s="24">
        <f t="shared" ref="H268:H331" si="15">+F268*6+G268*0.5</f>
        <v>201.5</v>
      </c>
      <c r="I268" s="25"/>
      <c r="J268" s="15">
        <f t="shared" si="14"/>
        <v>0</v>
      </c>
      <c r="K268" s="2"/>
    </row>
    <row r="269" spans="1:15" x14ac:dyDescent="0.3">
      <c r="A269" s="21">
        <v>46065</v>
      </c>
      <c r="B269">
        <v>7669</v>
      </c>
      <c r="C269">
        <v>1</v>
      </c>
      <c r="D269" t="s">
        <v>0</v>
      </c>
      <c r="E269" t="s">
        <v>14</v>
      </c>
      <c r="F269">
        <v>99</v>
      </c>
      <c r="G269" s="23">
        <v>29</v>
      </c>
      <c r="H269" s="24">
        <f t="shared" si="15"/>
        <v>608.5</v>
      </c>
      <c r="I269" s="25"/>
      <c r="J269" s="15">
        <f t="shared" si="14"/>
        <v>0</v>
      </c>
      <c r="K269" s="2"/>
    </row>
    <row r="270" spans="1:15" x14ac:dyDescent="0.3">
      <c r="A270" s="21">
        <v>46065</v>
      </c>
      <c r="B270">
        <v>7670</v>
      </c>
      <c r="C270">
        <v>1</v>
      </c>
      <c r="D270" t="s">
        <v>16</v>
      </c>
      <c r="E270" t="s">
        <v>14</v>
      </c>
      <c r="F270">
        <v>66</v>
      </c>
      <c r="G270" s="23">
        <v>14</v>
      </c>
      <c r="H270" s="24">
        <f t="shared" si="15"/>
        <v>403</v>
      </c>
      <c r="I270" s="25"/>
      <c r="J270" s="15">
        <f t="shared" si="14"/>
        <v>0</v>
      </c>
      <c r="K270" s="2"/>
    </row>
    <row r="271" spans="1:15" x14ac:dyDescent="0.3">
      <c r="A271" s="21">
        <v>46065</v>
      </c>
      <c r="B271">
        <v>7671</v>
      </c>
      <c r="C271">
        <v>1</v>
      </c>
      <c r="D271" t="s">
        <v>16</v>
      </c>
      <c r="E271" t="s">
        <v>1</v>
      </c>
      <c r="F271">
        <v>33</v>
      </c>
      <c r="G271" s="23">
        <v>10</v>
      </c>
      <c r="H271" s="24">
        <f t="shared" si="15"/>
        <v>203</v>
      </c>
      <c r="I271" s="25"/>
      <c r="J271" s="15">
        <f t="shared" si="14"/>
        <v>0</v>
      </c>
      <c r="K271" s="2"/>
    </row>
    <row r="272" spans="1:15" x14ac:dyDescent="0.3">
      <c r="A272" s="21">
        <v>46065</v>
      </c>
      <c r="B272">
        <v>7672</v>
      </c>
      <c r="C272">
        <v>1</v>
      </c>
      <c r="D272" t="s">
        <v>15</v>
      </c>
      <c r="E272" t="s">
        <v>14</v>
      </c>
      <c r="F272">
        <v>33</v>
      </c>
      <c r="G272" s="23">
        <v>7</v>
      </c>
      <c r="H272" s="24">
        <f t="shared" si="15"/>
        <v>201.5</v>
      </c>
      <c r="I272" s="25"/>
      <c r="J272" s="15">
        <f t="shared" si="14"/>
        <v>0</v>
      </c>
      <c r="K272" s="2"/>
    </row>
    <row r="273" spans="1:15" x14ac:dyDescent="0.3">
      <c r="A273" s="21">
        <v>46065</v>
      </c>
      <c r="B273">
        <v>7673</v>
      </c>
      <c r="C273">
        <v>1</v>
      </c>
      <c r="D273" t="s">
        <v>17</v>
      </c>
      <c r="E273" t="s">
        <v>14</v>
      </c>
      <c r="F273">
        <v>33</v>
      </c>
      <c r="G273" s="23">
        <v>7</v>
      </c>
      <c r="H273" s="24">
        <f t="shared" si="15"/>
        <v>201.5</v>
      </c>
      <c r="I273" s="25"/>
      <c r="J273" s="15">
        <f t="shared" si="14"/>
        <v>0</v>
      </c>
      <c r="K273" s="2"/>
    </row>
    <row r="274" spans="1:15" x14ac:dyDescent="0.3">
      <c r="A274" s="21">
        <v>46065</v>
      </c>
      <c r="B274">
        <v>7674</v>
      </c>
      <c r="C274">
        <v>1</v>
      </c>
      <c r="D274" t="s">
        <v>17</v>
      </c>
      <c r="E274" t="s">
        <v>1</v>
      </c>
      <c r="F274">
        <v>66</v>
      </c>
      <c r="G274" s="23">
        <v>22</v>
      </c>
      <c r="H274" s="24">
        <f t="shared" si="15"/>
        <v>407</v>
      </c>
      <c r="I274" s="25"/>
      <c r="J274" s="15">
        <f t="shared" si="14"/>
        <v>0</v>
      </c>
      <c r="K274" s="2"/>
    </row>
    <row r="275" spans="1:15" x14ac:dyDescent="0.3">
      <c r="A275" s="21">
        <v>46065</v>
      </c>
      <c r="B275">
        <v>7675</v>
      </c>
      <c r="C275">
        <v>1</v>
      </c>
      <c r="D275" t="s">
        <v>28</v>
      </c>
      <c r="E275" t="s">
        <v>14</v>
      </c>
      <c r="F275">
        <v>35</v>
      </c>
      <c r="G275" s="23">
        <v>3</v>
      </c>
      <c r="H275" s="24">
        <f>+F275*6+G275*0.5</f>
        <v>211.5</v>
      </c>
      <c r="I275" s="25"/>
      <c r="J275" s="15">
        <f t="shared" si="14"/>
        <v>0</v>
      </c>
      <c r="K275" s="2"/>
    </row>
    <row r="276" spans="1:15" x14ac:dyDescent="0.3">
      <c r="A276" s="21">
        <v>46065</v>
      </c>
      <c r="B276">
        <v>7676</v>
      </c>
      <c r="C276">
        <v>1</v>
      </c>
      <c r="D276" s="22" t="s">
        <v>18</v>
      </c>
      <c r="E276" s="28" t="s">
        <v>20</v>
      </c>
      <c r="F276">
        <v>22</v>
      </c>
      <c r="G276" s="23">
        <v>2</v>
      </c>
      <c r="H276" s="24">
        <f>+F276*9+G276*1</f>
        <v>200</v>
      </c>
      <c r="I276" s="25"/>
      <c r="J276" s="15">
        <f t="shared" si="14"/>
        <v>0</v>
      </c>
      <c r="K276" s="2"/>
    </row>
    <row r="277" spans="1:15" x14ac:dyDescent="0.3">
      <c r="A277" s="21">
        <v>46065</v>
      </c>
      <c r="B277">
        <v>7676</v>
      </c>
      <c r="C277">
        <v>2</v>
      </c>
      <c r="D277" s="22" t="s">
        <v>18</v>
      </c>
      <c r="E277" s="28" t="s">
        <v>20</v>
      </c>
      <c r="F277">
        <v>66</v>
      </c>
      <c r="G277" s="23">
        <v>2</v>
      </c>
      <c r="H277" s="24">
        <f>+F277*6+G277*1</f>
        <v>398</v>
      </c>
      <c r="I277" s="25"/>
      <c r="J277" s="15">
        <f t="shared" si="14"/>
        <v>0</v>
      </c>
      <c r="K277" s="2"/>
    </row>
    <row r="278" spans="1:15" x14ac:dyDescent="0.3">
      <c r="A278" s="4">
        <v>46065</v>
      </c>
      <c r="B278" s="1">
        <v>7677</v>
      </c>
      <c r="C278" s="1">
        <v>1</v>
      </c>
      <c r="D278" s="26" t="s">
        <v>7</v>
      </c>
      <c r="E278" s="1" t="s">
        <v>8</v>
      </c>
      <c r="F278" s="1">
        <v>79</v>
      </c>
      <c r="G278" s="5">
        <v>0</v>
      </c>
      <c r="H278" s="6">
        <f>+F278*5+G278*0.5</f>
        <v>395</v>
      </c>
      <c r="I278" s="7"/>
      <c r="J278" s="8">
        <f t="shared" si="14"/>
        <v>0</v>
      </c>
      <c r="K278" s="9"/>
      <c r="L278" s="1"/>
      <c r="M278" s="1"/>
      <c r="N278" s="1"/>
      <c r="O278" s="1"/>
    </row>
    <row r="279" spans="1:15" x14ac:dyDescent="0.3">
      <c r="A279" s="21">
        <v>46066</v>
      </c>
      <c r="B279">
        <v>7678</v>
      </c>
      <c r="C279">
        <v>1</v>
      </c>
      <c r="D279" t="s">
        <v>42</v>
      </c>
      <c r="E279" t="s">
        <v>43</v>
      </c>
      <c r="F279">
        <v>107</v>
      </c>
      <c r="G279" s="23">
        <v>20</v>
      </c>
      <c r="H279" s="24">
        <f>+F279*9+G279*1</f>
        <v>983</v>
      </c>
      <c r="I279" s="25"/>
      <c r="J279" s="15">
        <f t="shared" si="14"/>
        <v>0</v>
      </c>
      <c r="K279" s="2"/>
    </row>
    <row r="280" spans="1:15" x14ac:dyDescent="0.3">
      <c r="A280" s="21">
        <v>46066</v>
      </c>
      <c r="B280">
        <v>7679</v>
      </c>
      <c r="C280">
        <v>1</v>
      </c>
      <c r="D280" t="s">
        <v>22</v>
      </c>
      <c r="E280" t="s">
        <v>33</v>
      </c>
      <c r="F280">
        <v>166</v>
      </c>
      <c r="G280" s="23">
        <v>13</v>
      </c>
      <c r="H280" s="24">
        <f>+F280*6+G280*1</f>
        <v>1009</v>
      </c>
      <c r="I280" s="25"/>
      <c r="J280" s="15">
        <f t="shared" si="14"/>
        <v>0</v>
      </c>
      <c r="K280" s="2"/>
    </row>
    <row r="281" spans="1:15" x14ac:dyDescent="0.3">
      <c r="A281" s="21">
        <v>46066</v>
      </c>
      <c r="B281">
        <v>7680</v>
      </c>
      <c r="C281">
        <v>1</v>
      </c>
      <c r="D281" t="s">
        <v>25</v>
      </c>
      <c r="E281" t="s">
        <v>1</v>
      </c>
      <c r="F281">
        <v>33</v>
      </c>
      <c r="G281" s="23">
        <v>8</v>
      </c>
      <c r="H281" s="24">
        <f t="shared" si="15"/>
        <v>202</v>
      </c>
      <c r="I281" s="25"/>
      <c r="J281" s="15">
        <f t="shared" si="14"/>
        <v>0</v>
      </c>
      <c r="K281" s="2"/>
    </row>
    <row r="282" spans="1:15" x14ac:dyDescent="0.3">
      <c r="A282" s="21">
        <v>46066</v>
      </c>
      <c r="B282">
        <v>7681</v>
      </c>
      <c r="C282">
        <v>1</v>
      </c>
      <c r="D282" t="s">
        <v>27</v>
      </c>
      <c r="E282" t="s">
        <v>14</v>
      </c>
      <c r="F282">
        <v>35</v>
      </c>
      <c r="G282" s="23">
        <v>2</v>
      </c>
      <c r="H282" s="24">
        <f t="shared" si="15"/>
        <v>211</v>
      </c>
      <c r="I282" s="25"/>
      <c r="J282" s="15">
        <f t="shared" si="14"/>
        <v>0</v>
      </c>
      <c r="K282" s="2"/>
    </row>
    <row r="283" spans="1:15" x14ac:dyDescent="0.3">
      <c r="A283" s="21">
        <v>46066</v>
      </c>
      <c r="B283">
        <v>7682</v>
      </c>
      <c r="C283">
        <v>1</v>
      </c>
      <c r="D283" t="s">
        <v>0</v>
      </c>
      <c r="E283" t="s">
        <v>14</v>
      </c>
      <c r="F283">
        <v>66</v>
      </c>
      <c r="G283" s="23">
        <v>15</v>
      </c>
      <c r="H283" s="24">
        <f t="shared" si="15"/>
        <v>403.5</v>
      </c>
      <c r="I283" s="25"/>
      <c r="J283" s="15">
        <f t="shared" si="14"/>
        <v>0</v>
      </c>
      <c r="K283" s="2"/>
    </row>
    <row r="284" spans="1:15" x14ac:dyDescent="0.3">
      <c r="A284" s="21">
        <v>46066</v>
      </c>
      <c r="B284">
        <v>7683</v>
      </c>
      <c r="C284">
        <v>1</v>
      </c>
      <c r="D284" t="s">
        <v>23</v>
      </c>
      <c r="E284" t="s">
        <v>14</v>
      </c>
      <c r="F284">
        <v>99</v>
      </c>
      <c r="G284" s="23">
        <v>15</v>
      </c>
      <c r="H284" s="24">
        <f t="shared" si="15"/>
        <v>601.5</v>
      </c>
      <c r="I284" s="25"/>
      <c r="J284" s="15">
        <f t="shared" si="14"/>
        <v>0</v>
      </c>
      <c r="K284" s="2"/>
    </row>
    <row r="285" spans="1:15" x14ac:dyDescent="0.3">
      <c r="A285" s="21">
        <v>46066</v>
      </c>
      <c r="B285">
        <v>7684</v>
      </c>
      <c r="C285">
        <v>1</v>
      </c>
      <c r="D285" t="s">
        <v>17</v>
      </c>
      <c r="E285" t="s">
        <v>14</v>
      </c>
      <c r="F285">
        <v>101</v>
      </c>
      <c r="G285" s="23">
        <v>26</v>
      </c>
      <c r="H285" s="24">
        <f t="shared" si="15"/>
        <v>619</v>
      </c>
      <c r="I285" s="25"/>
      <c r="J285" s="15">
        <f t="shared" si="14"/>
        <v>0</v>
      </c>
      <c r="K285" s="2"/>
    </row>
    <row r="286" spans="1:15" x14ac:dyDescent="0.3">
      <c r="A286" s="21">
        <v>46066</v>
      </c>
      <c r="B286">
        <v>7685</v>
      </c>
      <c r="C286">
        <v>1</v>
      </c>
      <c r="D286" s="22" t="s">
        <v>7</v>
      </c>
      <c r="E286" t="s">
        <v>8</v>
      </c>
      <c r="F286">
        <v>82</v>
      </c>
      <c r="G286" s="23">
        <v>0</v>
      </c>
      <c r="H286" s="24">
        <f>+F286*5+G286*0.5</f>
        <v>410</v>
      </c>
      <c r="I286" s="25"/>
      <c r="J286" s="15">
        <f t="shared" si="14"/>
        <v>0</v>
      </c>
      <c r="K286" s="2"/>
    </row>
    <row r="287" spans="1:15" x14ac:dyDescent="0.3">
      <c r="A287" s="21">
        <v>46066</v>
      </c>
      <c r="B287">
        <v>7685</v>
      </c>
      <c r="C287">
        <v>2</v>
      </c>
      <c r="D287" s="22" t="s">
        <v>7</v>
      </c>
      <c r="E287" t="s">
        <v>9</v>
      </c>
      <c r="F287">
        <v>85</v>
      </c>
      <c r="G287" s="23">
        <v>0</v>
      </c>
      <c r="H287" s="24">
        <f>+F287*7+G287*0.5</f>
        <v>595</v>
      </c>
      <c r="I287" s="25"/>
      <c r="J287" s="15">
        <f t="shared" si="14"/>
        <v>0</v>
      </c>
      <c r="K287" s="2"/>
    </row>
    <row r="288" spans="1:15" x14ac:dyDescent="0.3">
      <c r="A288" s="4">
        <v>46066</v>
      </c>
      <c r="B288" s="1">
        <v>7686</v>
      </c>
      <c r="C288" s="1">
        <v>1</v>
      </c>
      <c r="D288" s="26" t="s">
        <v>18</v>
      </c>
      <c r="E288" s="55" t="s">
        <v>20</v>
      </c>
      <c r="F288" s="1">
        <v>59</v>
      </c>
      <c r="G288" s="5">
        <v>14</v>
      </c>
      <c r="H288" s="6">
        <f>+F288*9+G288*1</f>
        <v>545</v>
      </c>
      <c r="I288" s="7"/>
      <c r="J288" s="8">
        <f t="shared" si="14"/>
        <v>0</v>
      </c>
      <c r="K288" s="9"/>
      <c r="L288" s="1"/>
      <c r="M288" s="1"/>
      <c r="N288" s="1"/>
      <c r="O288" s="1"/>
    </row>
    <row r="289" spans="1:15" x14ac:dyDescent="0.3">
      <c r="A289" s="21">
        <v>46071</v>
      </c>
      <c r="B289">
        <v>7687</v>
      </c>
      <c r="C289">
        <v>1</v>
      </c>
      <c r="D289" s="22" t="s">
        <v>7</v>
      </c>
      <c r="E289" t="s">
        <v>9</v>
      </c>
      <c r="F289">
        <v>141</v>
      </c>
      <c r="G289" s="23">
        <v>0</v>
      </c>
      <c r="H289" s="24">
        <f>+F289*7+G289*0.5</f>
        <v>987</v>
      </c>
      <c r="I289" s="25"/>
      <c r="J289" s="15">
        <f t="shared" si="14"/>
        <v>0</v>
      </c>
      <c r="K289" s="2"/>
    </row>
    <row r="290" spans="1:15" x14ac:dyDescent="0.3">
      <c r="A290" s="21">
        <v>46071</v>
      </c>
      <c r="B290">
        <v>7688</v>
      </c>
      <c r="C290">
        <v>2</v>
      </c>
      <c r="D290" s="22" t="s">
        <v>7</v>
      </c>
      <c r="E290" t="s">
        <v>8</v>
      </c>
      <c r="F290">
        <v>165</v>
      </c>
      <c r="G290" s="23">
        <v>0</v>
      </c>
      <c r="H290" s="24">
        <f>+F290*5+G290*0.5</f>
        <v>825</v>
      </c>
      <c r="I290" s="25"/>
      <c r="J290" s="15">
        <f t="shared" si="14"/>
        <v>0</v>
      </c>
      <c r="K290" s="2"/>
    </row>
    <row r="291" spans="1:15" x14ac:dyDescent="0.3">
      <c r="A291" s="21">
        <v>46071</v>
      </c>
      <c r="B291">
        <v>7688</v>
      </c>
      <c r="C291">
        <v>2</v>
      </c>
      <c r="D291" s="22" t="s">
        <v>7</v>
      </c>
      <c r="E291" t="s">
        <v>9</v>
      </c>
      <c r="F291">
        <v>28</v>
      </c>
      <c r="G291" s="23">
        <v>0</v>
      </c>
      <c r="H291" s="24">
        <f>+F291*7+G291*0.5</f>
        <v>196</v>
      </c>
      <c r="I291" s="25"/>
      <c r="J291" s="15">
        <f t="shared" si="14"/>
        <v>0</v>
      </c>
      <c r="K291" s="2"/>
    </row>
    <row r="292" spans="1:15" x14ac:dyDescent="0.3">
      <c r="A292" s="4">
        <v>46071</v>
      </c>
      <c r="B292" s="1">
        <v>7689</v>
      </c>
      <c r="C292" s="1">
        <v>1</v>
      </c>
      <c r="D292" s="26" t="s">
        <v>18</v>
      </c>
      <c r="E292" s="55" t="s">
        <v>20</v>
      </c>
      <c r="F292" s="1">
        <v>81</v>
      </c>
      <c r="G292" s="5">
        <v>21</v>
      </c>
      <c r="H292" s="6">
        <f>+F292*9+G292*1</f>
        <v>750</v>
      </c>
      <c r="I292" s="7"/>
      <c r="J292" s="8">
        <f t="shared" si="14"/>
        <v>0</v>
      </c>
      <c r="K292" s="9"/>
      <c r="L292" s="1"/>
      <c r="M292" s="1"/>
      <c r="N292" s="1"/>
      <c r="O292" s="1"/>
    </row>
    <row r="293" spans="1:15" x14ac:dyDescent="0.3">
      <c r="A293" s="21">
        <v>46072</v>
      </c>
      <c r="B293">
        <v>7690</v>
      </c>
      <c r="C293">
        <v>1</v>
      </c>
      <c r="D293" t="s">
        <v>16</v>
      </c>
      <c r="E293" t="s">
        <v>14</v>
      </c>
      <c r="F293">
        <v>332</v>
      </c>
      <c r="G293" s="23">
        <v>87</v>
      </c>
      <c r="H293" s="24">
        <f t="shared" si="15"/>
        <v>2035.5</v>
      </c>
      <c r="I293" s="25"/>
      <c r="J293" s="15">
        <f t="shared" si="14"/>
        <v>0</v>
      </c>
      <c r="K293" s="2"/>
    </row>
    <row r="294" spans="1:15" x14ac:dyDescent="0.3">
      <c r="A294" s="21">
        <v>46072</v>
      </c>
      <c r="B294">
        <v>7691</v>
      </c>
      <c r="C294">
        <v>1</v>
      </c>
      <c r="D294" t="s">
        <v>16</v>
      </c>
      <c r="E294" t="s">
        <v>1</v>
      </c>
      <c r="F294">
        <v>33</v>
      </c>
      <c r="G294" s="23">
        <v>10</v>
      </c>
      <c r="H294" s="24">
        <f t="shared" si="15"/>
        <v>203</v>
      </c>
      <c r="I294" s="25"/>
      <c r="J294" s="15">
        <f t="shared" si="14"/>
        <v>0</v>
      </c>
      <c r="K294" s="2"/>
    </row>
    <row r="295" spans="1:15" x14ac:dyDescent="0.3">
      <c r="A295" s="21">
        <v>46072</v>
      </c>
      <c r="B295">
        <v>7692</v>
      </c>
      <c r="C295">
        <v>1</v>
      </c>
      <c r="D295" t="s">
        <v>26</v>
      </c>
      <c r="E295" t="s">
        <v>14</v>
      </c>
      <c r="F295">
        <v>33</v>
      </c>
      <c r="G295" s="23">
        <v>8</v>
      </c>
      <c r="H295" s="24">
        <f t="shared" si="15"/>
        <v>202</v>
      </c>
      <c r="I295" s="25"/>
      <c r="J295" s="15">
        <f t="shared" si="14"/>
        <v>0</v>
      </c>
      <c r="K295" s="2"/>
    </row>
    <row r="296" spans="1:15" x14ac:dyDescent="0.3">
      <c r="A296" s="21">
        <v>46072</v>
      </c>
      <c r="B296">
        <v>7693</v>
      </c>
      <c r="C296">
        <v>1</v>
      </c>
      <c r="D296" s="22" t="s">
        <v>18</v>
      </c>
      <c r="E296" s="28" t="s">
        <v>20</v>
      </c>
      <c r="F296">
        <v>65</v>
      </c>
      <c r="G296" s="23">
        <v>11</v>
      </c>
      <c r="H296" s="24">
        <f>+F296*9+G296*1</f>
        <v>596</v>
      </c>
      <c r="I296" s="25"/>
      <c r="J296" s="15">
        <f t="shared" si="14"/>
        <v>0</v>
      </c>
      <c r="K296" s="2"/>
    </row>
    <row r="297" spans="1:15" x14ac:dyDescent="0.3">
      <c r="A297" s="21">
        <v>46072</v>
      </c>
      <c r="B297">
        <v>7694</v>
      </c>
      <c r="C297">
        <v>1</v>
      </c>
      <c r="D297" t="s">
        <v>27</v>
      </c>
      <c r="E297" t="s">
        <v>14</v>
      </c>
      <c r="F297">
        <v>99</v>
      </c>
      <c r="G297" s="23">
        <v>24</v>
      </c>
      <c r="H297" s="24">
        <f t="shared" si="15"/>
        <v>606</v>
      </c>
      <c r="I297" s="25"/>
      <c r="J297" s="15">
        <f t="shared" si="14"/>
        <v>0</v>
      </c>
      <c r="K297" s="2"/>
    </row>
    <row r="298" spans="1:15" x14ac:dyDescent="0.3">
      <c r="A298" s="21">
        <v>46072</v>
      </c>
      <c r="B298">
        <v>7695</v>
      </c>
      <c r="C298">
        <v>1</v>
      </c>
      <c r="D298" t="s">
        <v>25</v>
      </c>
      <c r="E298" t="s">
        <v>1</v>
      </c>
      <c r="F298">
        <v>33</v>
      </c>
      <c r="G298" s="23">
        <v>3</v>
      </c>
      <c r="H298" s="24">
        <f t="shared" si="15"/>
        <v>199.5</v>
      </c>
      <c r="I298" s="25"/>
      <c r="J298" s="15">
        <f t="shared" si="14"/>
        <v>0</v>
      </c>
      <c r="K298" s="2"/>
    </row>
    <row r="299" spans="1:15" x14ac:dyDescent="0.3">
      <c r="A299" s="21">
        <v>46072</v>
      </c>
      <c r="B299">
        <v>7696</v>
      </c>
      <c r="C299">
        <v>1</v>
      </c>
      <c r="D299" t="s">
        <v>0</v>
      </c>
      <c r="E299" t="s">
        <v>14</v>
      </c>
      <c r="F299">
        <v>66</v>
      </c>
      <c r="G299" s="23">
        <v>19</v>
      </c>
      <c r="H299" s="24">
        <f t="shared" si="15"/>
        <v>405.5</v>
      </c>
      <c r="I299" s="25"/>
      <c r="J299" s="15">
        <f t="shared" si="14"/>
        <v>0</v>
      </c>
      <c r="K299" s="2"/>
    </row>
    <row r="300" spans="1:15" x14ac:dyDescent="0.3">
      <c r="A300" s="4">
        <v>46072</v>
      </c>
      <c r="B300" s="1">
        <v>7697</v>
      </c>
      <c r="C300" s="1">
        <v>1</v>
      </c>
      <c r="D300" s="1" t="s">
        <v>15</v>
      </c>
      <c r="E300" s="1" t="s">
        <v>14</v>
      </c>
      <c r="F300" s="1">
        <v>132</v>
      </c>
      <c r="G300" s="5">
        <v>36</v>
      </c>
      <c r="H300" s="6">
        <f t="shared" si="15"/>
        <v>810</v>
      </c>
      <c r="I300" s="7"/>
      <c r="J300" s="8">
        <f t="shared" si="14"/>
        <v>0</v>
      </c>
      <c r="K300" s="9"/>
      <c r="L300" s="1"/>
      <c r="M300" s="1"/>
      <c r="N300" s="1"/>
      <c r="O300" s="1"/>
    </row>
    <row r="301" spans="1:15" x14ac:dyDescent="0.3">
      <c r="A301" s="21">
        <v>46073</v>
      </c>
      <c r="B301">
        <v>7698</v>
      </c>
      <c r="C301">
        <v>1</v>
      </c>
      <c r="D301" s="22" t="s">
        <v>18</v>
      </c>
      <c r="E301" s="28" t="s">
        <v>20</v>
      </c>
      <c r="F301">
        <v>108</v>
      </c>
      <c r="G301" s="23">
        <v>17</v>
      </c>
      <c r="H301" s="24">
        <f>+F301*9+G301*1</f>
        <v>989</v>
      </c>
      <c r="I301" s="25"/>
      <c r="J301" s="15">
        <f t="shared" si="14"/>
        <v>0</v>
      </c>
      <c r="K301" s="2"/>
    </row>
    <row r="302" spans="1:15" x14ac:dyDescent="0.3">
      <c r="A302" s="21">
        <v>46073</v>
      </c>
      <c r="B302">
        <v>7699</v>
      </c>
      <c r="C302">
        <v>1</v>
      </c>
      <c r="D302" t="s">
        <v>22</v>
      </c>
      <c r="E302" t="s">
        <v>33</v>
      </c>
      <c r="F302">
        <v>66</v>
      </c>
      <c r="G302" s="23">
        <v>6</v>
      </c>
      <c r="H302" s="24">
        <f>+F302*6+G302*1</f>
        <v>402</v>
      </c>
      <c r="I302" s="25"/>
      <c r="J302" s="15">
        <f t="shared" si="14"/>
        <v>0</v>
      </c>
      <c r="K302" s="2"/>
    </row>
    <row r="303" spans="1:15" x14ac:dyDescent="0.3">
      <c r="A303" s="21">
        <v>46073</v>
      </c>
      <c r="B303">
        <v>7700</v>
      </c>
      <c r="C303">
        <v>1</v>
      </c>
      <c r="D303" t="s">
        <v>15</v>
      </c>
      <c r="E303" t="s">
        <v>14</v>
      </c>
      <c r="F303">
        <v>99</v>
      </c>
      <c r="G303" s="23">
        <v>32</v>
      </c>
      <c r="H303" s="24">
        <f t="shared" si="15"/>
        <v>610</v>
      </c>
      <c r="I303" s="25"/>
      <c r="J303" s="15">
        <f t="shared" si="14"/>
        <v>0</v>
      </c>
      <c r="K303" s="2"/>
    </row>
    <row r="304" spans="1:15" x14ac:dyDescent="0.3">
      <c r="A304" s="21">
        <v>46073</v>
      </c>
      <c r="B304">
        <v>7701</v>
      </c>
      <c r="C304">
        <v>1</v>
      </c>
      <c r="D304" t="s">
        <v>25</v>
      </c>
      <c r="E304" t="s">
        <v>1</v>
      </c>
      <c r="F304">
        <v>34</v>
      </c>
      <c r="G304" s="23">
        <v>0</v>
      </c>
      <c r="H304" s="24">
        <f t="shared" si="15"/>
        <v>204</v>
      </c>
      <c r="I304" s="25"/>
      <c r="J304" s="15">
        <f t="shared" si="14"/>
        <v>0</v>
      </c>
      <c r="K304" s="2"/>
    </row>
    <row r="305" spans="1:15" x14ac:dyDescent="0.3">
      <c r="A305" s="21">
        <v>46073</v>
      </c>
      <c r="B305">
        <v>7702</v>
      </c>
      <c r="C305">
        <v>1</v>
      </c>
      <c r="D305" s="22" t="s">
        <v>18</v>
      </c>
      <c r="E305" s="28" t="s">
        <v>20</v>
      </c>
      <c r="F305">
        <v>87</v>
      </c>
      <c r="G305" s="23">
        <v>10</v>
      </c>
      <c r="H305" s="24">
        <f>+F305*9+G305*1</f>
        <v>793</v>
      </c>
      <c r="I305" s="25"/>
      <c r="J305" s="15">
        <f t="shared" si="14"/>
        <v>0</v>
      </c>
      <c r="K305" s="2"/>
    </row>
    <row r="306" spans="1:15" x14ac:dyDescent="0.3">
      <c r="A306" s="4">
        <v>46073</v>
      </c>
      <c r="B306" s="1">
        <v>7703</v>
      </c>
      <c r="C306" s="1">
        <v>1</v>
      </c>
      <c r="D306" s="1" t="s">
        <v>11</v>
      </c>
      <c r="E306" s="1" t="s">
        <v>12</v>
      </c>
      <c r="F306" s="1">
        <v>122</v>
      </c>
      <c r="G306" s="5">
        <v>15</v>
      </c>
      <c r="H306" s="6">
        <f>+F306*6+G306*1</f>
        <v>747</v>
      </c>
      <c r="I306" s="7"/>
      <c r="J306" s="8">
        <f t="shared" si="14"/>
        <v>0</v>
      </c>
      <c r="K306" s="9"/>
      <c r="L306" s="1"/>
      <c r="M306" s="1"/>
      <c r="N306" s="1"/>
      <c r="O306" s="1"/>
    </row>
    <row r="307" spans="1:15" x14ac:dyDescent="0.3">
      <c r="A307" s="21">
        <v>46074</v>
      </c>
      <c r="B307">
        <v>7704</v>
      </c>
      <c r="C307">
        <v>1</v>
      </c>
      <c r="D307" t="s">
        <v>28</v>
      </c>
      <c r="E307" t="s">
        <v>14</v>
      </c>
      <c r="F307">
        <v>66</v>
      </c>
      <c r="G307" s="23">
        <v>12</v>
      </c>
      <c r="H307" s="24">
        <f t="shared" si="15"/>
        <v>402</v>
      </c>
      <c r="I307" s="25"/>
      <c r="J307" s="15">
        <f t="shared" si="14"/>
        <v>0</v>
      </c>
      <c r="K307" s="2"/>
    </row>
    <row r="308" spans="1:15" x14ac:dyDescent="0.3">
      <c r="A308" s="21">
        <v>46074</v>
      </c>
      <c r="B308">
        <v>7705</v>
      </c>
      <c r="C308">
        <v>1</v>
      </c>
      <c r="D308" s="22" t="s">
        <v>7</v>
      </c>
      <c r="E308" t="s">
        <v>8</v>
      </c>
      <c r="F308">
        <v>82</v>
      </c>
      <c r="G308" s="23">
        <v>0</v>
      </c>
      <c r="H308" s="24">
        <f>+F308*5+G308*0.5</f>
        <v>410</v>
      </c>
      <c r="I308" s="25"/>
      <c r="J308" s="15">
        <f t="shared" si="14"/>
        <v>0</v>
      </c>
      <c r="K308" s="2"/>
    </row>
    <row r="309" spans="1:15" x14ac:dyDescent="0.3">
      <c r="A309" s="21">
        <v>46074</v>
      </c>
      <c r="B309">
        <v>7705</v>
      </c>
      <c r="C309">
        <v>2</v>
      </c>
      <c r="D309" s="22" t="s">
        <v>7</v>
      </c>
      <c r="E309" t="s">
        <v>4</v>
      </c>
      <c r="F309">
        <v>73</v>
      </c>
      <c r="G309" s="23">
        <v>0</v>
      </c>
      <c r="H309" s="24">
        <f>+F309*5+G309*0.5</f>
        <v>365</v>
      </c>
      <c r="I309" s="25"/>
      <c r="J309" s="15">
        <f>+H309*I309</f>
        <v>0</v>
      </c>
      <c r="K309" s="2"/>
    </row>
    <row r="310" spans="1:15" x14ac:dyDescent="0.3">
      <c r="A310" s="21">
        <v>46074</v>
      </c>
      <c r="B310">
        <v>7705</v>
      </c>
      <c r="C310">
        <v>3</v>
      </c>
      <c r="D310" s="22" t="s">
        <v>7</v>
      </c>
      <c r="E310" t="s">
        <v>9</v>
      </c>
      <c r="F310">
        <v>28</v>
      </c>
      <c r="G310" s="23">
        <v>0</v>
      </c>
      <c r="H310" s="24">
        <f>+F310*7+G310*0.5</f>
        <v>196</v>
      </c>
      <c r="I310" s="25"/>
      <c r="J310" s="15">
        <f t="shared" si="14"/>
        <v>0</v>
      </c>
      <c r="K310" s="2"/>
    </row>
    <row r="311" spans="1:15" x14ac:dyDescent="0.3">
      <c r="A311" s="21">
        <v>46074</v>
      </c>
      <c r="B311">
        <v>7706</v>
      </c>
      <c r="C311">
        <v>1</v>
      </c>
      <c r="D311" s="22" t="s">
        <v>18</v>
      </c>
      <c r="E311" t="s">
        <v>19</v>
      </c>
      <c r="F311">
        <v>12</v>
      </c>
      <c r="G311" s="23">
        <v>0</v>
      </c>
      <c r="H311" s="24">
        <f t="shared" si="15"/>
        <v>72</v>
      </c>
      <c r="I311" s="25"/>
      <c r="J311" s="15">
        <f t="shared" si="14"/>
        <v>0</v>
      </c>
      <c r="K311" s="2"/>
    </row>
    <row r="312" spans="1:15" x14ac:dyDescent="0.3">
      <c r="A312" s="21">
        <v>46076</v>
      </c>
      <c r="B312">
        <v>7707</v>
      </c>
      <c r="C312">
        <v>1</v>
      </c>
      <c r="D312" s="22" t="s">
        <v>18</v>
      </c>
      <c r="E312" s="28" t="s">
        <v>20</v>
      </c>
      <c r="F312">
        <v>110</v>
      </c>
      <c r="G312" s="23">
        <v>7</v>
      </c>
      <c r="H312" s="24">
        <f>+F312*9+G312*1</f>
        <v>997</v>
      </c>
      <c r="I312" s="25"/>
      <c r="J312" s="15">
        <f t="shared" si="14"/>
        <v>0</v>
      </c>
      <c r="K312" s="2"/>
    </row>
    <row r="313" spans="1:15" x14ac:dyDescent="0.3">
      <c r="A313" s="21">
        <v>46076</v>
      </c>
      <c r="B313">
        <v>7708</v>
      </c>
      <c r="C313">
        <v>1</v>
      </c>
      <c r="D313" t="s">
        <v>36</v>
      </c>
      <c r="E313" t="s">
        <v>14</v>
      </c>
      <c r="F313">
        <v>133</v>
      </c>
      <c r="G313" s="23">
        <v>20</v>
      </c>
      <c r="H313" s="24">
        <f t="shared" si="15"/>
        <v>808</v>
      </c>
      <c r="I313" s="25"/>
      <c r="J313" s="15">
        <f t="shared" si="14"/>
        <v>0</v>
      </c>
      <c r="K313" s="2"/>
    </row>
    <row r="314" spans="1:15" x14ac:dyDescent="0.3">
      <c r="A314" s="21">
        <v>46076</v>
      </c>
      <c r="B314">
        <v>7709</v>
      </c>
      <c r="C314">
        <v>1</v>
      </c>
      <c r="D314" t="s">
        <v>30</v>
      </c>
      <c r="E314" t="s">
        <v>14</v>
      </c>
      <c r="F314">
        <v>35</v>
      </c>
      <c r="G314" s="23">
        <v>8</v>
      </c>
      <c r="H314" s="24">
        <f t="shared" si="15"/>
        <v>214</v>
      </c>
      <c r="I314" s="25"/>
      <c r="J314" s="15">
        <f t="shared" si="14"/>
        <v>0</v>
      </c>
      <c r="K314" s="2"/>
    </row>
    <row r="315" spans="1:15" x14ac:dyDescent="0.3">
      <c r="A315" s="21">
        <v>46076</v>
      </c>
      <c r="B315">
        <v>7710</v>
      </c>
      <c r="C315">
        <v>1</v>
      </c>
      <c r="D315" t="s">
        <v>25</v>
      </c>
      <c r="E315" t="s">
        <v>1</v>
      </c>
      <c r="F315">
        <v>33</v>
      </c>
      <c r="G315" s="23">
        <v>10</v>
      </c>
      <c r="H315" s="24">
        <f t="shared" si="15"/>
        <v>203</v>
      </c>
      <c r="I315" s="25"/>
      <c r="J315" s="15">
        <f t="shared" si="14"/>
        <v>0</v>
      </c>
      <c r="K315" s="2"/>
    </row>
    <row r="316" spans="1:15" x14ac:dyDescent="0.3">
      <c r="A316" s="21">
        <v>46076</v>
      </c>
      <c r="B316">
        <v>7711</v>
      </c>
      <c r="C316">
        <v>1</v>
      </c>
      <c r="D316" t="s">
        <v>0</v>
      </c>
      <c r="E316" t="s">
        <v>1</v>
      </c>
      <c r="F316">
        <v>33</v>
      </c>
      <c r="G316" s="23">
        <v>5</v>
      </c>
      <c r="H316" s="24">
        <f t="shared" si="15"/>
        <v>200.5</v>
      </c>
      <c r="I316" s="25"/>
      <c r="J316" s="15">
        <f t="shared" si="14"/>
        <v>0</v>
      </c>
      <c r="K316" s="2"/>
    </row>
    <row r="317" spans="1:15" x14ac:dyDescent="0.3">
      <c r="A317" s="21">
        <v>46076</v>
      </c>
      <c r="B317">
        <v>7712</v>
      </c>
      <c r="C317">
        <v>1</v>
      </c>
      <c r="D317" t="s">
        <v>23</v>
      </c>
      <c r="E317" t="s">
        <v>14</v>
      </c>
      <c r="F317">
        <v>167</v>
      </c>
      <c r="G317" s="23">
        <v>35</v>
      </c>
      <c r="H317" s="24">
        <f t="shared" si="15"/>
        <v>1019.5</v>
      </c>
      <c r="I317" s="25"/>
      <c r="J317" s="15">
        <f t="shared" si="14"/>
        <v>0</v>
      </c>
      <c r="K317" s="2"/>
    </row>
    <row r="318" spans="1:15" x14ac:dyDescent="0.3">
      <c r="A318" s="21">
        <v>46077</v>
      </c>
      <c r="B318">
        <v>7713</v>
      </c>
      <c r="C318">
        <v>1</v>
      </c>
      <c r="D318" s="22" t="s">
        <v>7</v>
      </c>
      <c r="E318" t="s">
        <v>4</v>
      </c>
      <c r="F318">
        <v>186</v>
      </c>
      <c r="G318" s="23">
        <v>0</v>
      </c>
      <c r="H318" s="24">
        <f>+F318*5+G318*0.5</f>
        <v>930</v>
      </c>
      <c r="I318" s="25"/>
      <c r="J318" s="15">
        <f t="shared" si="14"/>
        <v>0</v>
      </c>
      <c r="K318" s="2"/>
    </row>
    <row r="319" spans="1:15" x14ac:dyDescent="0.3">
      <c r="A319" s="21">
        <v>46077</v>
      </c>
      <c r="B319">
        <v>7714</v>
      </c>
      <c r="C319">
        <v>1</v>
      </c>
      <c r="D319" t="s">
        <v>30</v>
      </c>
      <c r="E319" t="s">
        <v>14</v>
      </c>
      <c r="F319">
        <v>33</v>
      </c>
      <c r="G319" s="23">
        <v>10</v>
      </c>
      <c r="H319" s="24">
        <f t="shared" si="15"/>
        <v>203</v>
      </c>
      <c r="I319" s="25"/>
      <c r="J319" s="15">
        <f t="shared" si="14"/>
        <v>0</v>
      </c>
      <c r="K319" s="2"/>
    </row>
    <row r="320" spans="1:15" x14ac:dyDescent="0.3">
      <c r="A320" s="21">
        <v>46077</v>
      </c>
      <c r="B320">
        <v>7715</v>
      </c>
      <c r="C320">
        <v>1</v>
      </c>
      <c r="D320" t="s">
        <v>0</v>
      </c>
      <c r="E320" t="s">
        <v>14</v>
      </c>
      <c r="F320">
        <v>33</v>
      </c>
      <c r="G320" s="23">
        <v>6</v>
      </c>
      <c r="H320" s="24">
        <f t="shared" si="15"/>
        <v>201</v>
      </c>
      <c r="I320" s="25"/>
      <c r="J320" s="15">
        <f t="shared" si="14"/>
        <v>0</v>
      </c>
      <c r="K320" s="2"/>
    </row>
    <row r="321" spans="1:11" x14ac:dyDescent="0.3">
      <c r="A321" s="21">
        <v>46077</v>
      </c>
      <c r="B321">
        <v>7716</v>
      </c>
      <c r="C321">
        <v>1</v>
      </c>
      <c r="D321" t="s">
        <v>16</v>
      </c>
      <c r="E321" t="s">
        <v>14</v>
      </c>
      <c r="F321">
        <v>165</v>
      </c>
      <c r="G321" s="23">
        <v>17</v>
      </c>
      <c r="H321" s="24">
        <f t="shared" si="15"/>
        <v>998.5</v>
      </c>
      <c r="I321" s="25"/>
      <c r="J321" s="15">
        <f t="shared" si="14"/>
        <v>0</v>
      </c>
      <c r="K321" s="2"/>
    </row>
    <row r="322" spans="1:11" x14ac:dyDescent="0.3">
      <c r="A322" s="21">
        <v>46077</v>
      </c>
      <c r="B322">
        <v>7717</v>
      </c>
      <c r="C322">
        <v>1</v>
      </c>
      <c r="D322" t="s">
        <v>17</v>
      </c>
      <c r="E322" t="s">
        <v>14</v>
      </c>
      <c r="F322">
        <v>99</v>
      </c>
      <c r="G322" s="23">
        <v>25</v>
      </c>
      <c r="H322" s="24">
        <f t="shared" si="15"/>
        <v>606.5</v>
      </c>
      <c r="I322" s="25"/>
      <c r="J322" s="15">
        <f t="shared" si="14"/>
        <v>0</v>
      </c>
      <c r="K322" s="2"/>
    </row>
    <row r="323" spans="1:11" x14ac:dyDescent="0.3">
      <c r="A323" s="21">
        <v>46077</v>
      </c>
      <c r="B323">
        <v>7718</v>
      </c>
      <c r="C323">
        <v>1</v>
      </c>
      <c r="D323" t="s">
        <v>17</v>
      </c>
      <c r="E323" t="s">
        <v>1</v>
      </c>
      <c r="F323">
        <v>99</v>
      </c>
      <c r="G323" s="23">
        <v>19</v>
      </c>
      <c r="H323" s="24">
        <f t="shared" si="15"/>
        <v>603.5</v>
      </c>
      <c r="I323" s="25"/>
      <c r="J323" s="15">
        <f t="shared" si="14"/>
        <v>0</v>
      </c>
      <c r="K323" s="2"/>
    </row>
    <row r="324" spans="1:11" x14ac:dyDescent="0.3">
      <c r="A324" s="21">
        <v>46078</v>
      </c>
      <c r="B324">
        <v>7719</v>
      </c>
      <c r="C324">
        <v>1</v>
      </c>
      <c r="D324" s="22" t="s">
        <v>7</v>
      </c>
      <c r="E324" t="s">
        <v>4</v>
      </c>
      <c r="F324">
        <v>303</v>
      </c>
      <c r="G324" s="23">
        <v>0</v>
      </c>
      <c r="H324" s="24">
        <f>+F324*5+G324*0.5</f>
        <v>1515</v>
      </c>
      <c r="I324" s="25"/>
      <c r="J324" s="15">
        <f t="shared" si="14"/>
        <v>0</v>
      </c>
      <c r="K324" s="2"/>
    </row>
    <row r="325" spans="1:11" x14ac:dyDescent="0.3">
      <c r="A325" s="21">
        <v>46078</v>
      </c>
      <c r="B325">
        <v>7719</v>
      </c>
      <c r="C325">
        <v>2</v>
      </c>
      <c r="D325" s="22" t="s">
        <v>7</v>
      </c>
      <c r="E325" t="s">
        <v>8</v>
      </c>
      <c r="F325">
        <v>42</v>
      </c>
      <c r="G325" s="23">
        <v>0</v>
      </c>
      <c r="H325" s="24">
        <f>+F325*5+G325*0.5</f>
        <v>210</v>
      </c>
      <c r="I325" s="25"/>
      <c r="J325" s="15">
        <f t="shared" si="14"/>
        <v>0</v>
      </c>
      <c r="K325" s="2"/>
    </row>
    <row r="326" spans="1:11" x14ac:dyDescent="0.3">
      <c r="A326" s="21">
        <v>46078</v>
      </c>
      <c r="B326">
        <v>7719</v>
      </c>
      <c r="C326">
        <v>3</v>
      </c>
      <c r="D326" s="22" t="s">
        <v>7</v>
      </c>
      <c r="E326" t="s">
        <v>9</v>
      </c>
      <c r="F326">
        <v>57</v>
      </c>
      <c r="G326" s="23">
        <v>0</v>
      </c>
      <c r="H326" s="24">
        <f>+F326*7+G326*0.5</f>
        <v>399</v>
      </c>
      <c r="I326" s="25"/>
      <c r="J326" s="15">
        <f t="shared" si="14"/>
        <v>0</v>
      </c>
      <c r="K326" s="2"/>
    </row>
    <row r="327" spans="1:11" x14ac:dyDescent="0.3">
      <c r="A327" s="21">
        <v>46078</v>
      </c>
      <c r="B327">
        <v>7720</v>
      </c>
      <c r="C327">
        <v>1</v>
      </c>
      <c r="D327" s="22" t="s">
        <v>18</v>
      </c>
      <c r="E327" s="28" t="s">
        <v>20</v>
      </c>
      <c r="F327">
        <v>22</v>
      </c>
      <c r="G327" s="23">
        <v>2</v>
      </c>
      <c r="H327" s="24">
        <f>+F327*9+G327*1</f>
        <v>200</v>
      </c>
      <c r="I327" s="25"/>
      <c r="J327" s="15">
        <f t="shared" si="14"/>
        <v>0</v>
      </c>
      <c r="K327" s="2"/>
    </row>
    <row r="328" spans="1:11" x14ac:dyDescent="0.3">
      <c r="A328" s="21">
        <v>46078</v>
      </c>
      <c r="B328">
        <v>7720</v>
      </c>
      <c r="C328">
        <v>2</v>
      </c>
      <c r="D328" s="22" t="s">
        <v>18</v>
      </c>
      <c r="E328" s="28" t="s">
        <v>20</v>
      </c>
      <c r="F328">
        <v>126</v>
      </c>
      <c r="G328" s="23">
        <v>4</v>
      </c>
      <c r="H328" s="24">
        <f>+F328*6+G328*1</f>
        <v>760</v>
      </c>
      <c r="I328" s="25"/>
      <c r="J328" s="15">
        <f t="shared" si="14"/>
        <v>0</v>
      </c>
      <c r="K328" s="2"/>
    </row>
    <row r="329" spans="1:11" x14ac:dyDescent="0.3">
      <c r="A329" s="21">
        <v>46078</v>
      </c>
      <c r="B329">
        <v>7721</v>
      </c>
      <c r="C329">
        <v>1</v>
      </c>
      <c r="D329" s="22" t="s">
        <v>7</v>
      </c>
      <c r="E329" t="s">
        <v>4</v>
      </c>
      <c r="F329">
        <v>122</v>
      </c>
      <c r="G329" s="23">
        <v>0</v>
      </c>
      <c r="H329" s="24">
        <f>+F329*5+G329*0.5</f>
        <v>610</v>
      </c>
      <c r="I329" s="25"/>
      <c r="J329" s="15">
        <f t="shared" si="14"/>
        <v>0</v>
      </c>
      <c r="K329" s="2"/>
    </row>
    <row r="330" spans="1:11" x14ac:dyDescent="0.3">
      <c r="A330" s="21">
        <v>46078</v>
      </c>
      <c r="B330">
        <v>7721</v>
      </c>
      <c r="C330">
        <v>2</v>
      </c>
      <c r="D330" s="22" t="s">
        <v>7</v>
      </c>
      <c r="E330" t="s">
        <v>8</v>
      </c>
      <c r="F330">
        <v>80</v>
      </c>
      <c r="G330" s="23">
        <v>0</v>
      </c>
      <c r="H330" s="24">
        <f>+F330*5+G330*0.5</f>
        <v>400</v>
      </c>
      <c r="I330" s="25"/>
      <c r="J330" s="15">
        <f t="shared" si="14"/>
        <v>0</v>
      </c>
      <c r="K330" s="2"/>
    </row>
    <row r="331" spans="1:11" x14ac:dyDescent="0.3">
      <c r="A331" s="21">
        <v>46078</v>
      </c>
      <c r="B331">
        <v>7721</v>
      </c>
      <c r="C331">
        <v>3</v>
      </c>
      <c r="D331" s="22" t="s">
        <v>7</v>
      </c>
      <c r="E331" t="s">
        <v>49</v>
      </c>
      <c r="F331">
        <v>151</v>
      </c>
      <c r="G331" s="23">
        <v>0</v>
      </c>
      <c r="H331" s="24">
        <f t="shared" si="15"/>
        <v>906</v>
      </c>
      <c r="I331" s="25"/>
      <c r="J331" s="15">
        <f t="shared" si="14"/>
        <v>0</v>
      </c>
      <c r="K331" s="2"/>
    </row>
    <row r="332" spans="1:11" x14ac:dyDescent="0.3">
      <c r="A332" s="21">
        <v>46078</v>
      </c>
      <c r="B332">
        <v>7722</v>
      </c>
      <c r="C332">
        <v>1</v>
      </c>
      <c r="D332" s="22" t="s">
        <v>18</v>
      </c>
      <c r="E332" t="s">
        <v>19</v>
      </c>
      <c r="F332">
        <v>21</v>
      </c>
      <c r="G332" s="23">
        <v>0</v>
      </c>
      <c r="H332" s="24">
        <f t="shared" ref="H332:H395" si="16">+F332*6+G332*0.5</f>
        <v>126</v>
      </c>
      <c r="I332" s="25"/>
      <c r="J332" s="15">
        <f t="shared" si="14"/>
        <v>0</v>
      </c>
      <c r="K332" s="2"/>
    </row>
    <row r="333" spans="1:11" x14ac:dyDescent="0.3">
      <c r="A333" s="21">
        <v>46079</v>
      </c>
      <c r="B333">
        <v>7723</v>
      </c>
      <c r="C333">
        <v>1</v>
      </c>
      <c r="D333" t="s">
        <v>15</v>
      </c>
      <c r="E333" t="s">
        <v>14</v>
      </c>
      <c r="F333">
        <v>198</v>
      </c>
      <c r="G333" s="23">
        <v>61</v>
      </c>
      <c r="H333" s="24">
        <f t="shared" si="16"/>
        <v>1218.5</v>
      </c>
      <c r="I333" s="25"/>
      <c r="J333" s="15">
        <f t="shared" si="14"/>
        <v>0</v>
      </c>
      <c r="K333" s="2"/>
    </row>
    <row r="334" spans="1:11" x14ac:dyDescent="0.3">
      <c r="A334" s="21">
        <v>46079</v>
      </c>
      <c r="B334">
        <v>7724</v>
      </c>
      <c r="C334">
        <v>1</v>
      </c>
      <c r="D334" t="s">
        <v>29</v>
      </c>
      <c r="E334" t="s">
        <v>14</v>
      </c>
      <c r="F334">
        <v>67</v>
      </c>
      <c r="G334" s="23">
        <v>9</v>
      </c>
      <c r="H334" s="24">
        <f t="shared" si="16"/>
        <v>406.5</v>
      </c>
      <c r="I334" s="25"/>
      <c r="J334" s="15">
        <f t="shared" si="14"/>
        <v>0</v>
      </c>
      <c r="K334" s="2"/>
    </row>
    <row r="335" spans="1:11" x14ac:dyDescent="0.3">
      <c r="A335" s="21">
        <v>46079</v>
      </c>
      <c r="B335">
        <v>7725</v>
      </c>
      <c r="C335">
        <v>1</v>
      </c>
      <c r="D335" t="s">
        <v>17</v>
      </c>
      <c r="E335" t="s">
        <v>14</v>
      </c>
      <c r="F335">
        <v>132</v>
      </c>
      <c r="G335" s="23">
        <v>39</v>
      </c>
      <c r="H335" s="24">
        <f t="shared" si="16"/>
        <v>811.5</v>
      </c>
      <c r="I335" s="25"/>
      <c r="J335" s="15">
        <f t="shared" si="14"/>
        <v>0</v>
      </c>
      <c r="K335" s="2"/>
    </row>
    <row r="336" spans="1:11" x14ac:dyDescent="0.3">
      <c r="A336" s="21">
        <v>46079</v>
      </c>
      <c r="B336">
        <v>7726</v>
      </c>
      <c r="C336">
        <v>1</v>
      </c>
      <c r="D336" s="22" t="s">
        <v>18</v>
      </c>
      <c r="E336" t="s">
        <v>1</v>
      </c>
      <c r="F336">
        <v>67</v>
      </c>
      <c r="G336" s="23">
        <v>5</v>
      </c>
      <c r="H336" s="24">
        <f>+F336*6+G336*1</f>
        <v>407</v>
      </c>
      <c r="I336" s="25"/>
      <c r="J336" s="15">
        <f t="shared" si="14"/>
        <v>0</v>
      </c>
      <c r="K336" s="2"/>
    </row>
    <row r="337" spans="1:11" x14ac:dyDescent="0.3">
      <c r="A337" s="21">
        <v>46079</v>
      </c>
      <c r="B337">
        <v>7726</v>
      </c>
      <c r="C337">
        <v>1</v>
      </c>
      <c r="D337" s="22" t="s">
        <v>18</v>
      </c>
      <c r="E337" s="28" t="s">
        <v>20</v>
      </c>
      <c r="F337">
        <v>32</v>
      </c>
      <c r="G337" s="23">
        <v>2</v>
      </c>
      <c r="H337" s="24">
        <f>+F337*6+G337*1</f>
        <v>194</v>
      </c>
      <c r="I337" s="25"/>
      <c r="J337" s="15">
        <f t="shared" si="14"/>
        <v>0</v>
      </c>
      <c r="K337" s="2"/>
    </row>
    <row r="338" spans="1:11" x14ac:dyDescent="0.3">
      <c r="A338" s="21">
        <v>46079</v>
      </c>
      <c r="B338">
        <v>7727</v>
      </c>
      <c r="C338">
        <v>1</v>
      </c>
      <c r="D338" s="22" t="s">
        <v>7</v>
      </c>
      <c r="E338" t="s">
        <v>4</v>
      </c>
      <c r="F338">
        <v>42</v>
      </c>
      <c r="G338" s="23">
        <v>0</v>
      </c>
      <c r="H338" s="24">
        <f>+F338*5+G338*0.5</f>
        <v>210</v>
      </c>
      <c r="I338" s="25"/>
      <c r="J338" s="15">
        <f t="shared" si="14"/>
        <v>0</v>
      </c>
      <c r="K338" s="2"/>
    </row>
    <row r="339" spans="1:11" x14ac:dyDescent="0.3">
      <c r="A339" s="21">
        <v>46079</v>
      </c>
      <c r="B339">
        <v>7727</v>
      </c>
      <c r="C339">
        <v>2</v>
      </c>
      <c r="D339" s="22" t="s">
        <v>7</v>
      </c>
      <c r="E339" t="s">
        <v>49</v>
      </c>
      <c r="F339">
        <v>29</v>
      </c>
      <c r="G339" s="23">
        <v>0</v>
      </c>
      <c r="H339" s="24">
        <f t="shared" si="16"/>
        <v>174</v>
      </c>
      <c r="I339" s="25"/>
      <c r="J339" s="15">
        <f t="shared" si="14"/>
        <v>0</v>
      </c>
      <c r="K339" s="2"/>
    </row>
    <row r="340" spans="1:11" x14ac:dyDescent="0.3">
      <c r="A340" s="21">
        <v>46079</v>
      </c>
      <c r="B340">
        <v>7728</v>
      </c>
      <c r="C340">
        <v>1</v>
      </c>
      <c r="D340" t="s">
        <v>27</v>
      </c>
      <c r="E340" t="s">
        <v>1</v>
      </c>
      <c r="F340">
        <v>33</v>
      </c>
      <c r="G340" s="23">
        <v>9</v>
      </c>
      <c r="H340" s="24">
        <f t="shared" si="16"/>
        <v>202.5</v>
      </c>
      <c r="I340" s="25"/>
      <c r="J340" s="15">
        <f t="shared" si="14"/>
        <v>0</v>
      </c>
      <c r="K340" s="2"/>
    </row>
    <row r="341" spans="1:11" x14ac:dyDescent="0.3">
      <c r="A341" s="21">
        <v>46080</v>
      </c>
      <c r="B341">
        <v>7729</v>
      </c>
      <c r="C341">
        <v>1</v>
      </c>
      <c r="D341" s="22" t="s">
        <v>2</v>
      </c>
      <c r="E341" t="s">
        <v>50</v>
      </c>
      <c r="F341">
        <v>8</v>
      </c>
      <c r="G341" s="23">
        <v>0</v>
      </c>
      <c r="H341" s="24">
        <f>+F341*5+G341*0.5</f>
        <v>40</v>
      </c>
      <c r="I341" s="25"/>
      <c r="J341" s="15">
        <f t="shared" si="14"/>
        <v>0</v>
      </c>
      <c r="K341" s="2"/>
    </row>
    <row r="342" spans="1:11" x14ac:dyDescent="0.3">
      <c r="A342" s="21">
        <v>46080</v>
      </c>
      <c r="B342">
        <v>7729</v>
      </c>
      <c r="C342">
        <v>2</v>
      </c>
      <c r="D342" s="22" t="s">
        <v>2</v>
      </c>
      <c r="E342" t="s">
        <v>46</v>
      </c>
      <c r="F342">
        <v>12</v>
      </c>
      <c r="G342" s="23">
        <v>0</v>
      </c>
      <c r="H342" s="24">
        <f t="shared" ref="H342:H344" si="17">+F342*5+G342*0.5</f>
        <v>60</v>
      </c>
      <c r="I342" s="25"/>
      <c r="J342" s="15">
        <f t="shared" si="14"/>
        <v>0</v>
      </c>
      <c r="K342" s="2"/>
    </row>
    <row r="343" spans="1:11" x14ac:dyDescent="0.3">
      <c r="A343" s="21">
        <v>46080</v>
      </c>
      <c r="B343">
        <v>7730</v>
      </c>
      <c r="C343">
        <v>1</v>
      </c>
      <c r="D343" s="22" t="s">
        <v>7</v>
      </c>
      <c r="E343" t="s">
        <v>4</v>
      </c>
      <c r="F343">
        <v>157</v>
      </c>
      <c r="G343" s="23">
        <v>0</v>
      </c>
      <c r="H343" s="24">
        <f t="shared" si="17"/>
        <v>785</v>
      </c>
      <c r="I343" s="25"/>
      <c r="J343" s="15">
        <f t="shared" si="14"/>
        <v>0</v>
      </c>
      <c r="K343" s="2"/>
    </row>
    <row r="344" spans="1:11" x14ac:dyDescent="0.3">
      <c r="A344" s="21">
        <v>46080</v>
      </c>
      <c r="B344">
        <v>7730</v>
      </c>
      <c r="C344">
        <v>2</v>
      </c>
      <c r="D344" s="22" t="s">
        <v>7</v>
      </c>
      <c r="E344" t="s">
        <v>8</v>
      </c>
      <c r="F344">
        <v>40</v>
      </c>
      <c r="G344" s="23">
        <v>0</v>
      </c>
      <c r="H344" s="24">
        <f t="shared" si="17"/>
        <v>200</v>
      </c>
      <c r="I344" s="25"/>
      <c r="J344" s="15">
        <f t="shared" si="14"/>
        <v>0</v>
      </c>
      <c r="K344" s="2"/>
    </row>
    <row r="345" spans="1:11" x14ac:dyDescent="0.3">
      <c r="A345" s="21">
        <v>46080</v>
      </c>
      <c r="B345">
        <v>7731</v>
      </c>
      <c r="C345">
        <v>1</v>
      </c>
      <c r="D345" t="s">
        <v>35</v>
      </c>
      <c r="E345" s="28" t="s">
        <v>20</v>
      </c>
      <c r="F345">
        <v>43</v>
      </c>
      <c r="G345" s="23">
        <v>10</v>
      </c>
      <c r="H345" s="24">
        <f>+F345*9+G345*1</f>
        <v>397</v>
      </c>
      <c r="I345" s="25"/>
      <c r="J345" s="15">
        <f t="shared" si="14"/>
        <v>0</v>
      </c>
      <c r="K345" s="2"/>
    </row>
    <row r="346" spans="1:11" x14ac:dyDescent="0.3">
      <c r="A346" s="21">
        <v>46080</v>
      </c>
      <c r="B346">
        <v>7732</v>
      </c>
      <c r="C346">
        <v>1</v>
      </c>
      <c r="D346" t="s">
        <v>39</v>
      </c>
      <c r="E346" t="s">
        <v>1</v>
      </c>
      <c r="F346">
        <v>99</v>
      </c>
      <c r="G346" s="23">
        <v>30</v>
      </c>
      <c r="H346" s="24">
        <f t="shared" si="16"/>
        <v>609</v>
      </c>
      <c r="I346" s="25"/>
      <c r="J346" s="15">
        <f t="shared" si="14"/>
        <v>0</v>
      </c>
      <c r="K346" s="2"/>
    </row>
    <row r="347" spans="1:11" x14ac:dyDescent="0.3">
      <c r="A347" s="21">
        <v>46080</v>
      </c>
      <c r="B347">
        <v>7733</v>
      </c>
      <c r="C347">
        <v>1</v>
      </c>
      <c r="D347" t="s">
        <v>15</v>
      </c>
      <c r="E347" t="s">
        <v>14</v>
      </c>
      <c r="F347">
        <v>66</v>
      </c>
      <c r="G347" s="23">
        <v>18</v>
      </c>
      <c r="H347" s="24">
        <f t="shared" si="16"/>
        <v>405</v>
      </c>
      <c r="I347" s="25"/>
      <c r="J347" s="15">
        <f t="shared" si="14"/>
        <v>0</v>
      </c>
      <c r="K347" s="2"/>
    </row>
    <row r="348" spans="1:11" x14ac:dyDescent="0.3">
      <c r="A348" s="21">
        <v>46080</v>
      </c>
      <c r="B348">
        <v>7734</v>
      </c>
      <c r="C348">
        <v>1</v>
      </c>
      <c r="D348" t="s">
        <v>51</v>
      </c>
      <c r="E348" t="s">
        <v>1</v>
      </c>
      <c r="F348">
        <v>68</v>
      </c>
      <c r="G348" s="23">
        <v>0</v>
      </c>
      <c r="H348" s="24">
        <f>+F348*6+G348*0.5</f>
        <v>408</v>
      </c>
      <c r="I348" s="25"/>
      <c r="J348" s="15">
        <f t="shared" si="14"/>
        <v>0</v>
      </c>
      <c r="K348" s="2"/>
    </row>
    <row r="349" spans="1:11" x14ac:dyDescent="0.3">
      <c r="A349" s="21">
        <v>46081</v>
      </c>
      <c r="B349">
        <v>7735</v>
      </c>
      <c r="C349">
        <v>1</v>
      </c>
      <c r="D349" t="s">
        <v>51</v>
      </c>
      <c r="E349" t="s">
        <v>1</v>
      </c>
      <c r="F349">
        <v>33</v>
      </c>
      <c r="G349" s="23">
        <v>9</v>
      </c>
      <c r="H349" s="24">
        <f t="shared" si="16"/>
        <v>202.5</v>
      </c>
      <c r="I349" s="25"/>
      <c r="J349" s="15">
        <f t="shared" si="14"/>
        <v>0</v>
      </c>
      <c r="K349" s="2"/>
    </row>
    <row r="350" spans="1:11" x14ac:dyDescent="0.3">
      <c r="A350" s="21">
        <v>46081</v>
      </c>
      <c r="B350">
        <v>7736</v>
      </c>
      <c r="C350">
        <v>1</v>
      </c>
      <c r="D350" t="s">
        <v>36</v>
      </c>
      <c r="E350" t="s">
        <v>14</v>
      </c>
      <c r="F350">
        <v>33</v>
      </c>
      <c r="G350" s="23">
        <v>8</v>
      </c>
      <c r="H350" s="24">
        <f t="shared" si="16"/>
        <v>202</v>
      </c>
      <c r="I350" s="25"/>
      <c r="J350" s="15">
        <f t="shared" si="14"/>
        <v>0</v>
      </c>
      <c r="K350" s="2"/>
    </row>
    <row r="351" spans="1:11" x14ac:dyDescent="0.3">
      <c r="A351" s="21">
        <v>46081</v>
      </c>
      <c r="B351">
        <v>7737</v>
      </c>
      <c r="C351">
        <v>1</v>
      </c>
      <c r="D351" t="s">
        <v>52</v>
      </c>
      <c r="E351" t="s">
        <v>1</v>
      </c>
      <c r="F351">
        <v>102</v>
      </c>
      <c r="G351" s="23">
        <v>0</v>
      </c>
      <c r="H351" s="24">
        <f t="shared" si="16"/>
        <v>612</v>
      </c>
      <c r="I351" s="25"/>
      <c r="J351" s="15">
        <f t="shared" si="14"/>
        <v>0</v>
      </c>
      <c r="K351" s="2"/>
    </row>
    <row r="352" spans="1:11" x14ac:dyDescent="0.3">
      <c r="A352" s="21">
        <v>46081</v>
      </c>
      <c r="B352">
        <v>7738</v>
      </c>
      <c r="C352">
        <v>1</v>
      </c>
      <c r="D352" s="22" t="s">
        <v>7</v>
      </c>
      <c r="E352" t="s">
        <v>4</v>
      </c>
      <c r="F352">
        <v>36</v>
      </c>
      <c r="G352" s="23">
        <v>0</v>
      </c>
      <c r="H352" s="24">
        <f>+F352*5+G352*0.5</f>
        <v>180</v>
      </c>
      <c r="I352" s="25"/>
      <c r="J352" s="15">
        <f t="shared" si="14"/>
        <v>0</v>
      </c>
      <c r="K352" s="2"/>
    </row>
    <row r="353" spans="1:15" ht="15" thickBot="1" x14ac:dyDescent="0.35">
      <c r="A353" s="82">
        <v>46081</v>
      </c>
      <c r="B353" s="3">
        <v>7738</v>
      </c>
      <c r="C353" s="3">
        <v>2</v>
      </c>
      <c r="D353" s="83" t="s">
        <v>7</v>
      </c>
      <c r="E353" s="3" t="s">
        <v>8</v>
      </c>
      <c r="F353" s="3">
        <v>162</v>
      </c>
      <c r="G353" s="85">
        <v>0</v>
      </c>
      <c r="H353" s="86">
        <f>+F353*5+G353*0.5</f>
        <v>810</v>
      </c>
      <c r="I353" s="87"/>
      <c r="J353" s="88">
        <f t="shared" si="14"/>
        <v>0</v>
      </c>
      <c r="K353" s="89"/>
      <c r="L353" s="3"/>
      <c r="M353" s="3"/>
      <c r="N353" s="3"/>
      <c r="O353" s="3"/>
    </row>
    <row r="354" spans="1:15" x14ac:dyDescent="0.3">
      <c r="A354" s="21">
        <v>46083</v>
      </c>
      <c r="B354">
        <v>7739</v>
      </c>
      <c r="C354">
        <v>1</v>
      </c>
      <c r="D354" t="s">
        <v>11</v>
      </c>
      <c r="E354" t="s">
        <v>12</v>
      </c>
      <c r="F354">
        <v>90</v>
      </c>
      <c r="G354" s="23">
        <v>9</v>
      </c>
      <c r="H354" s="24">
        <f>+F354*6+G354*1</f>
        <v>549</v>
      </c>
      <c r="I354" s="25"/>
      <c r="J354" s="15">
        <f t="shared" si="14"/>
        <v>0</v>
      </c>
      <c r="K354" s="2"/>
    </row>
    <row r="355" spans="1:15" x14ac:dyDescent="0.3">
      <c r="A355" s="35">
        <v>46083</v>
      </c>
      <c r="B355" s="36">
        <v>7740</v>
      </c>
      <c r="C355" s="36">
        <v>1</v>
      </c>
      <c r="D355" s="36" t="s">
        <v>21</v>
      </c>
      <c r="E355" s="36">
        <v>0</v>
      </c>
      <c r="F355" s="36">
        <v>0</v>
      </c>
      <c r="G355" s="37">
        <v>0</v>
      </c>
      <c r="H355" s="38">
        <f t="shared" si="16"/>
        <v>0</v>
      </c>
      <c r="I355" s="39"/>
      <c r="J355" s="15">
        <f t="shared" si="14"/>
        <v>0</v>
      </c>
      <c r="K355" s="40"/>
      <c r="L355" s="36"/>
      <c r="M355" s="36"/>
      <c r="N355" s="36"/>
      <c r="O355" s="36"/>
    </row>
    <row r="356" spans="1:15" x14ac:dyDescent="0.3">
      <c r="A356" s="21">
        <v>46083</v>
      </c>
      <c r="B356">
        <v>7741</v>
      </c>
      <c r="C356">
        <v>1</v>
      </c>
      <c r="D356" t="s">
        <v>52</v>
      </c>
      <c r="E356" t="s">
        <v>1</v>
      </c>
      <c r="F356">
        <v>16</v>
      </c>
      <c r="G356" s="23">
        <v>10</v>
      </c>
      <c r="H356" s="24">
        <f t="shared" si="16"/>
        <v>101</v>
      </c>
      <c r="I356" s="25"/>
      <c r="J356" s="15">
        <f t="shared" si="14"/>
        <v>0</v>
      </c>
      <c r="K356" s="2"/>
    </row>
    <row r="357" spans="1:15" x14ac:dyDescent="0.3">
      <c r="A357" s="21">
        <v>46083</v>
      </c>
      <c r="B357">
        <v>7742</v>
      </c>
      <c r="C357">
        <v>1</v>
      </c>
      <c r="D357" t="s">
        <v>22</v>
      </c>
      <c r="E357" t="s">
        <v>1</v>
      </c>
      <c r="F357">
        <v>33</v>
      </c>
      <c r="G357" s="23">
        <v>11</v>
      </c>
      <c r="H357" s="24">
        <f t="shared" si="16"/>
        <v>203.5</v>
      </c>
      <c r="I357" s="25"/>
      <c r="J357" s="15">
        <f t="shared" si="14"/>
        <v>0</v>
      </c>
      <c r="K357" s="2"/>
    </row>
    <row r="358" spans="1:15" x14ac:dyDescent="0.3">
      <c r="A358" s="21">
        <v>46083</v>
      </c>
      <c r="B358">
        <v>7743</v>
      </c>
      <c r="C358">
        <v>1</v>
      </c>
      <c r="D358" t="s">
        <v>16</v>
      </c>
      <c r="E358" t="s">
        <v>53</v>
      </c>
      <c r="F358">
        <v>133</v>
      </c>
      <c r="G358" s="23">
        <v>25</v>
      </c>
      <c r="H358" s="24">
        <f t="shared" si="16"/>
        <v>810.5</v>
      </c>
      <c r="I358" s="39"/>
      <c r="J358" s="15">
        <f t="shared" si="14"/>
        <v>0</v>
      </c>
      <c r="K358" s="2"/>
    </row>
    <row r="359" spans="1:15" x14ac:dyDescent="0.3">
      <c r="A359" s="4">
        <v>46083</v>
      </c>
      <c r="B359" s="1">
        <v>7744</v>
      </c>
      <c r="C359" s="1">
        <v>1</v>
      </c>
      <c r="D359" s="26" t="s">
        <v>18</v>
      </c>
      <c r="E359" s="55" t="s">
        <v>20</v>
      </c>
      <c r="F359" s="1">
        <v>44</v>
      </c>
      <c r="G359" s="5">
        <v>1</v>
      </c>
      <c r="H359" s="6">
        <f>+F359*9+G359*1</f>
        <v>397</v>
      </c>
      <c r="I359" s="7"/>
      <c r="J359" s="8">
        <f t="shared" si="14"/>
        <v>0</v>
      </c>
      <c r="K359" s="9"/>
      <c r="L359" s="1"/>
      <c r="M359" s="1"/>
      <c r="N359" s="1"/>
      <c r="O359" s="1"/>
    </row>
    <row r="360" spans="1:15" x14ac:dyDescent="0.3">
      <c r="A360" s="21">
        <v>46084</v>
      </c>
      <c r="B360">
        <v>7745</v>
      </c>
      <c r="C360">
        <v>1</v>
      </c>
      <c r="D360" t="s">
        <v>16</v>
      </c>
      <c r="E360" t="s">
        <v>14</v>
      </c>
      <c r="F360">
        <v>265</v>
      </c>
      <c r="G360" s="23">
        <v>60</v>
      </c>
      <c r="H360" s="24">
        <f t="shared" si="16"/>
        <v>1620</v>
      </c>
      <c r="I360" s="39"/>
      <c r="J360" s="15">
        <f t="shared" si="14"/>
        <v>0</v>
      </c>
      <c r="K360" s="2"/>
    </row>
    <row r="361" spans="1:15" x14ac:dyDescent="0.3">
      <c r="A361" s="21">
        <v>46084</v>
      </c>
      <c r="B361">
        <v>7746</v>
      </c>
      <c r="C361">
        <v>1</v>
      </c>
      <c r="D361" s="22" t="s">
        <v>18</v>
      </c>
      <c r="E361" s="28" t="s">
        <v>20</v>
      </c>
      <c r="F361">
        <v>66</v>
      </c>
      <c r="G361" s="23">
        <v>2</v>
      </c>
      <c r="H361" s="24">
        <f>+F361*9+G361*1</f>
        <v>596</v>
      </c>
      <c r="I361" s="25"/>
      <c r="J361" s="15">
        <f t="shared" si="14"/>
        <v>0</v>
      </c>
      <c r="K361" s="2"/>
    </row>
    <row r="362" spans="1:15" x14ac:dyDescent="0.3">
      <c r="A362" s="21">
        <v>46084</v>
      </c>
      <c r="B362">
        <v>7747</v>
      </c>
      <c r="C362">
        <v>1</v>
      </c>
      <c r="D362" s="22" t="s">
        <v>7</v>
      </c>
      <c r="E362" t="s">
        <v>4</v>
      </c>
      <c r="F362">
        <f>43+37</f>
        <v>80</v>
      </c>
      <c r="G362" s="23">
        <v>0</v>
      </c>
      <c r="H362" s="24">
        <f>+F362*5+G362*0.5</f>
        <v>400</v>
      </c>
      <c r="I362" s="25"/>
      <c r="J362" s="15">
        <f t="shared" si="14"/>
        <v>0</v>
      </c>
      <c r="K362" s="2"/>
    </row>
    <row r="363" spans="1:15" x14ac:dyDescent="0.3">
      <c r="A363" s="4">
        <v>46084</v>
      </c>
      <c r="B363" s="1">
        <v>7747</v>
      </c>
      <c r="C363" s="1">
        <v>2</v>
      </c>
      <c r="D363" s="26" t="s">
        <v>7</v>
      </c>
      <c r="E363" s="1" t="s">
        <v>8</v>
      </c>
      <c r="F363" s="1">
        <v>80</v>
      </c>
      <c r="G363" s="5">
        <v>0</v>
      </c>
      <c r="H363" s="6">
        <f>+F363*5+G363*0.5</f>
        <v>400</v>
      </c>
      <c r="I363" s="7"/>
      <c r="J363" s="8">
        <f t="shared" si="14"/>
        <v>0</v>
      </c>
      <c r="K363" s="9"/>
      <c r="L363" s="1"/>
      <c r="M363" s="1"/>
      <c r="N363" s="1"/>
      <c r="O363" s="1"/>
    </row>
    <row r="364" spans="1:15" x14ac:dyDescent="0.3">
      <c r="A364" s="21">
        <v>46085</v>
      </c>
      <c r="B364">
        <v>7748</v>
      </c>
      <c r="C364">
        <v>1</v>
      </c>
      <c r="D364" s="22" t="s">
        <v>7</v>
      </c>
      <c r="E364" t="s">
        <v>8</v>
      </c>
      <c r="F364">
        <v>290</v>
      </c>
      <c r="G364" s="23">
        <v>0</v>
      </c>
      <c r="H364" s="24">
        <f>+F364*5+G364*0.5</f>
        <v>1450</v>
      </c>
      <c r="I364" s="25"/>
      <c r="J364" s="15">
        <f t="shared" si="14"/>
        <v>0</v>
      </c>
      <c r="K364" s="2"/>
    </row>
    <row r="365" spans="1:15" x14ac:dyDescent="0.3">
      <c r="A365" s="21">
        <v>46085</v>
      </c>
      <c r="B365">
        <v>7748</v>
      </c>
      <c r="C365">
        <v>2</v>
      </c>
      <c r="D365" s="22" t="s">
        <v>7</v>
      </c>
      <c r="E365" t="s">
        <v>4</v>
      </c>
      <c r="F365">
        <v>79</v>
      </c>
      <c r="G365" s="23">
        <v>0</v>
      </c>
      <c r="H365" s="24">
        <f>+F365*5+G365*0.5</f>
        <v>395</v>
      </c>
      <c r="I365" s="25"/>
      <c r="J365" s="15">
        <f t="shared" si="14"/>
        <v>0</v>
      </c>
      <c r="K365" s="2"/>
    </row>
    <row r="366" spans="1:15" x14ac:dyDescent="0.3">
      <c r="A366" s="21">
        <v>46085</v>
      </c>
      <c r="B366">
        <v>7749</v>
      </c>
      <c r="C366">
        <v>1</v>
      </c>
      <c r="D366" s="22" t="s">
        <v>18</v>
      </c>
      <c r="E366" t="s">
        <v>19</v>
      </c>
      <c r="F366">
        <v>18</v>
      </c>
      <c r="G366" s="23">
        <v>0</v>
      </c>
      <c r="H366" s="24">
        <f t="shared" si="16"/>
        <v>108</v>
      </c>
      <c r="I366" s="25"/>
      <c r="J366" s="15">
        <f t="shared" si="14"/>
        <v>0</v>
      </c>
      <c r="K366" s="2"/>
    </row>
    <row r="367" spans="1:15" x14ac:dyDescent="0.3">
      <c r="A367" s="21">
        <v>46085</v>
      </c>
      <c r="B367">
        <v>7750</v>
      </c>
      <c r="C367">
        <v>1</v>
      </c>
      <c r="D367" t="s">
        <v>0</v>
      </c>
      <c r="E367" t="s">
        <v>14</v>
      </c>
      <c r="F367">
        <v>165</v>
      </c>
      <c r="G367" s="23">
        <v>45</v>
      </c>
      <c r="H367" s="24">
        <f t="shared" si="16"/>
        <v>1012.5</v>
      </c>
      <c r="I367" s="25"/>
      <c r="J367" s="15">
        <f t="shared" si="14"/>
        <v>0</v>
      </c>
      <c r="K367" s="2"/>
    </row>
    <row r="368" spans="1:15" x14ac:dyDescent="0.3">
      <c r="A368" s="21">
        <v>46085</v>
      </c>
      <c r="B368">
        <v>7751</v>
      </c>
      <c r="C368">
        <v>1</v>
      </c>
      <c r="D368" t="s">
        <v>15</v>
      </c>
      <c r="E368" t="s">
        <v>14</v>
      </c>
      <c r="F368">
        <v>66</v>
      </c>
      <c r="G368" s="23">
        <v>17</v>
      </c>
      <c r="H368" s="24">
        <f t="shared" si="16"/>
        <v>404.5</v>
      </c>
      <c r="I368" s="25"/>
      <c r="J368" s="15">
        <f t="shared" si="14"/>
        <v>0</v>
      </c>
      <c r="K368" s="2"/>
    </row>
    <row r="369" spans="1:11" x14ac:dyDescent="0.3">
      <c r="A369" s="21">
        <v>46085</v>
      </c>
      <c r="B369">
        <v>7752</v>
      </c>
      <c r="C369">
        <v>1</v>
      </c>
      <c r="D369" t="s">
        <v>26</v>
      </c>
      <c r="E369" t="s">
        <v>14</v>
      </c>
      <c r="F369">
        <v>33</v>
      </c>
      <c r="G369" s="23">
        <v>2</v>
      </c>
      <c r="H369" s="24">
        <f t="shared" si="16"/>
        <v>199</v>
      </c>
      <c r="I369" s="25"/>
      <c r="J369" s="15">
        <f t="shared" si="14"/>
        <v>0</v>
      </c>
      <c r="K369" s="2"/>
    </row>
    <row r="370" spans="1:11" x14ac:dyDescent="0.3">
      <c r="A370" s="21">
        <v>46085</v>
      </c>
      <c r="B370">
        <v>7753</v>
      </c>
      <c r="C370">
        <v>1</v>
      </c>
      <c r="D370" t="s">
        <v>17</v>
      </c>
      <c r="E370" t="s">
        <v>14</v>
      </c>
      <c r="F370">
        <v>166</v>
      </c>
      <c r="G370" s="23">
        <v>31</v>
      </c>
      <c r="H370" s="24">
        <f t="shared" si="16"/>
        <v>1011.5</v>
      </c>
      <c r="I370" s="25"/>
      <c r="J370" s="15">
        <f t="shared" si="14"/>
        <v>0</v>
      </c>
      <c r="K370" s="2"/>
    </row>
    <row r="371" spans="1:11" x14ac:dyDescent="0.3">
      <c r="A371" s="21">
        <v>46085</v>
      </c>
      <c r="B371">
        <v>7754</v>
      </c>
      <c r="C371">
        <v>1</v>
      </c>
      <c r="D371" s="22" t="s">
        <v>18</v>
      </c>
      <c r="E371" s="28" t="s">
        <v>20</v>
      </c>
      <c r="F371">
        <v>107</v>
      </c>
      <c r="G371" s="23">
        <v>7</v>
      </c>
      <c r="H371" s="24">
        <f>+F371*9+G371*1</f>
        <v>970</v>
      </c>
      <c r="I371" s="25"/>
      <c r="J371" s="15">
        <f t="shared" si="14"/>
        <v>0</v>
      </c>
      <c r="K371" s="2"/>
    </row>
    <row r="372" spans="1:11" x14ac:dyDescent="0.3">
      <c r="A372" s="21">
        <v>46086</v>
      </c>
      <c r="B372">
        <v>7755</v>
      </c>
      <c r="C372">
        <v>1</v>
      </c>
      <c r="D372" t="s">
        <v>16</v>
      </c>
      <c r="E372" t="s">
        <v>14</v>
      </c>
      <c r="F372">
        <v>165</v>
      </c>
      <c r="G372" s="23">
        <v>37</v>
      </c>
      <c r="H372" s="24">
        <f t="shared" si="16"/>
        <v>1008.5</v>
      </c>
      <c r="I372" s="25"/>
      <c r="J372" s="15">
        <f t="shared" si="14"/>
        <v>0</v>
      </c>
      <c r="K372" s="2"/>
    </row>
    <row r="373" spans="1:11" x14ac:dyDescent="0.3">
      <c r="A373" s="21">
        <v>46086</v>
      </c>
      <c r="B373">
        <v>7756</v>
      </c>
      <c r="C373">
        <v>1</v>
      </c>
      <c r="D373" t="s">
        <v>17</v>
      </c>
      <c r="E373" t="s">
        <v>14</v>
      </c>
      <c r="F373">
        <v>199</v>
      </c>
      <c r="G373" s="23">
        <v>36</v>
      </c>
      <c r="H373" s="24">
        <f t="shared" si="16"/>
        <v>1212</v>
      </c>
      <c r="I373" s="25"/>
      <c r="J373" s="15">
        <f t="shared" si="14"/>
        <v>0</v>
      </c>
      <c r="K373" s="2"/>
    </row>
    <row r="374" spans="1:11" x14ac:dyDescent="0.3">
      <c r="A374" s="21">
        <v>46086</v>
      </c>
      <c r="B374">
        <v>7757</v>
      </c>
      <c r="C374">
        <v>1</v>
      </c>
      <c r="D374" t="s">
        <v>2</v>
      </c>
      <c r="E374" t="s">
        <v>50</v>
      </c>
      <c r="F374">
        <v>27</v>
      </c>
      <c r="G374" s="23">
        <v>0</v>
      </c>
      <c r="H374" s="24">
        <f>+F374*5+G374*0.5</f>
        <v>135</v>
      </c>
      <c r="I374" s="39"/>
      <c r="J374" s="15">
        <f t="shared" si="14"/>
        <v>0</v>
      </c>
      <c r="K374" s="2"/>
    </row>
    <row r="375" spans="1:11" x14ac:dyDescent="0.3">
      <c r="A375" s="21">
        <v>46086</v>
      </c>
      <c r="B375">
        <v>7758</v>
      </c>
      <c r="C375">
        <v>1</v>
      </c>
      <c r="D375" t="s">
        <v>25</v>
      </c>
      <c r="E375" t="s">
        <v>1</v>
      </c>
      <c r="F375">
        <v>33</v>
      </c>
      <c r="G375" s="23">
        <v>11</v>
      </c>
      <c r="H375" s="24">
        <f t="shared" si="16"/>
        <v>203.5</v>
      </c>
      <c r="I375" s="25"/>
      <c r="J375" s="15">
        <f t="shared" si="14"/>
        <v>0</v>
      </c>
      <c r="K375" s="2"/>
    </row>
    <row r="376" spans="1:11" x14ac:dyDescent="0.3">
      <c r="A376" s="21">
        <v>46086</v>
      </c>
      <c r="B376">
        <v>7759</v>
      </c>
      <c r="C376">
        <v>1</v>
      </c>
      <c r="D376" t="s">
        <v>48</v>
      </c>
      <c r="E376" s="28" t="s">
        <v>20</v>
      </c>
      <c r="F376">
        <v>33</v>
      </c>
      <c r="G376" s="23">
        <v>10</v>
      </c>
      <c r="H376" s="24">
        <f t="shared" si="16"/>
        <v>203</v>
      </c>
      <c r="I376" s="25"/>
      <c r="J376" s="15">
        <f t="shared" si="14"/>
        <v>0</v>
      </c>
      <c r="K376" s="2"/>
    </row>
    <row r="377" spans="1:11" x14ac:dyDescent="0.3">
      <c r="A377" s="21">
        <v>46086</v>
      </c>
      <c r="B377">
        <v>7760</v>
      </c>
      <c r="C377">
        <v>1</v>
      </c>
      <c r="D377" t="s">
        <v>35</v>
      </c>
      <c r="E377" t="s">
        <v>14</v>
      </c>
      <c r="F377">
        <v>63</v>
      </c>
      <c r="G377" s="23">
        <v>11</v>
      </c>
      <c r="H377" s="24">
        <f>+F377*9+G377*1</f>
        <v>578</v>
      </c>
      <c r="I377" s="25"/>
      <c r="J377" s="15">
        <f t="shared" si="14"/>
        <v>0</v>
      </c>
      <c r="K377" s="2"/>
    </row>
    <row r="378" spans="1:11" x14ac:dyDescent="0.3">
      <c r="A378" s="21">
        <v>46086</v>
      </c>
      <c r="B378">
        <v>7761</v>
      </c>
      <c r="C378">
        <v>1</v>
      </c>
      <c r="D378" t="s">
        <v>0</v>
      </c>
      <c r="E378" t="s">
        <v>1</v>
      </c>
      <c r="F378">
        <v>33</v>
      </c>
      <c r="G378" s="23">
        <v>10</v>
      </c>
      <c r="H378" s="24">
        <f t="shared" si="16"/>
        <v>203</v>
      </c>
      <c r="I378" s="25"/>
      <c r="J378" s="15">
        <f t="shared" si="14"/>
        <v>0</v>
      </c>
      <c r="K378" s="2"/>
    </row>
    <row r="379" spans="1:11" x14ac:dyDescent="0.3">
      <c r="A379" s="21">
        <v>46086</v>
      </c>
      <c r="B379">
        <v>7762</v>
      </c>
      <c r="C379">
        <v>1</v>
      </c>
      <c r="D379" t="s">
        <v>17</v>
      </c>
      <c r="E379" t="s">
        <v>14</v>
      </c>
      <c r="F379">
        <v>34</v>
      </c>
      <c r="G379" s="23">
        <v>0</v>
      </c>
      <c r="H379" s="24">
        <f t="shared" si="16"/>
        <v>204</v>
      </c>
      <c r="I379" s="25"/>
      <c r="J379" s="15">
        <f t="shared" si="14"/>
        <v>0</v>
      </c>
      <c r="K379" s="2"/>
    </row>
    <row r="380" spans="1:11" x14ac:dyDescent="0.3">
      <c r="A380" s="21">
        <v>46087</v>
      </c>
      <c r="B380">
        <v>7763</v>
      </c>
      <c r="C380">
        <v>1</v>
      </c>
      <c r="D380" s="22" t="s">
        <v>7</v>
      </c>
      <c r="E380" t="s">
        <v>54</v>
      </c>
      <c r="F380">
        <v>618</v>
      </c>
      <c r="G380" s="23">
        <v>0</v>
      </c>
      <c r="H380" s="24">
        <f>+F380*5+G380*0.5</f>
        <v>3090</v>
      </c>
      <c r="I380" s="25"/>
      <c r="J380" s="15">
        <f t="shared" si="14"/>
        <v>0</v>
      </c>
      <c r="K380" s="2"/>
    </row>
    <row r="381" spans="1:11" x14ac:dyDescent="0.3">
      <c r="A381" s="21">
        <v>46087</v>
      </c>
      <c r="B381">
        <v>7764</v>
      </c>
      <c r="C381">
        <v>1</v>
      </c>
      <c r="D381" s="22" t="s">
        <v>7</v>
      </c>
      <c r="E381" t="s">
        <v>54</v>
      </c>
      <c r="F381">
        <v>189</v>
      </c>
      <c r="G381" s="23">
        <v>0</v>
      </c>
      <c r="H381" s="24">
        <f>+F381*5+G381*0.5</f>
        <v>945</v>
      </c>
      <c r="I381" s="25"/>
      <c r="J381" s="15">
        <f t="shared" si="14"/>
        <v>0</v>
      </c>
      <c r="K381" s="2"/>
    </row>
    <row r="382" spans="1:11" x14ac:dyDescent="0.3">
      <c r="A382" s="21">
        <v>46087</v>
      </c>
      <c r="B382">
        <v>7765</v>
      </c>
      <c r="C382">
        <v>1</v>
      </c>
      <c r="D382" t="s">
        <v>0</v>
      </c>
      <c r="E382" t="s">
        <v>14</v>
      </c>
      <c r="F382">
        <v>66</v>
      </c>
      <c r="G382" s="23">
        <v>19</v>
      </c>
      <c r="H382" s="24">
        <f t="shared" si="16"/>
        <v>405.5</v>
      </c>
      <c r="I382" s="25"/>
      <c r="J382" s="15">
        <f t="shared" si="14"/>
        <v>0</v>
      </c>
      <c r="K382" s="2"/>
    </row>
    <row r="383" spans="1:11" x14ac:dyDescent="0.3">
      <c r="A383" s="21">
        <v>46087</v>
      </c>
      <c r="B383">
        <v>7766</v>
      </c>
      <c r="C383">
        <v>1</v>
      </c>
      <c r="D383" t="s">
        <v>0</v>
      </c>
      <c r="E383" t="s">
        <v>1</v>
      </c>
      <c r="F383">
        <v>134</v>
      </c>
      <c r="G383" s="23">
        <v>21</v>
      </c>
      <c r="H383" s="24">
        <f t="shared" si="16"/>
        <v>814.5</v>
      </c>
      <c r="I383" s="25"/>
      <c r="J383" s="15">
        <f t="shared" si="14"/>
        <v>0</v>
      </c>
      <c r="K383" s="2"/>
    </row>
    <row r="384" spans="1:11" x14ac:dyDescent="0.3">
      <c r="A384" s="21">
        <v>46087</v>
      </c>
      <c r="B384">
        <v>7767</v>
      </c>
      <c r="C384">
        <v>1</v>
      </c>
      <c r="D384" t="s">
        <v>15</v>
      </c>
      <c r="E384" t="s">
        <v>14</v>
      </c>
      <c r="F384">
        <v>64</v>
      </c>
      <c r="G384" s="23">
        <v>17</v>
      </c>
      <c r="H384" s="24">
        <f t="shared" si="16"/>
        <v>392.5</v>
      </c>
      <c r="I384" s="25"/>
      <c r="J384" s="15">
        <f t="shared" si="14"/>
        <v>0</v>
      </c>
      <c r="K384" s="2"/>
    </row>
    <row r="385" spans="1:11" x14ac:dyDescent="0.3">
      <c r="A385" s="21">
        <v>46087</v>
      </c>
      <c r="B385">
        <v>7768</v>
      </c>
      <c r="C385">
        <v>1</v>
      </c>
      <c r="D385" t="s">
        <v>17</v>
      </c>
      <c r="E385" t="s">
        <v>1</v>
      </c>
      <c r="F385">
        <v>33</v>
      </c>
      <c r="G385" s="23">
        <v>10</v>
      </c>
      <c r="H385" s="24">
        <f t="shared" si="16"/>
        <v>203</v>
      </c>
      <c r="I385" s="25"/>
      <c r="J385" s="15">
        <f t="shared" si="14"/>
        <v>0</v>
      </c>
      <c r="K385" s="2"/>
    </row>
    <row r="386" spans="1:11" x14ac:dyDescent="0.3">
      <c r="A386" s="21">
        <v>46087</v>
      </c>
      <c r="B386">
        <v>7769</v>
      </c>
      <c r="C386">
        <v>1</v>
      </c>
      <c r="D386" t="s">
        <v>17</v>
      </c>
      <c r="E386" t="s">
        <v>14</v>
      </c>
      <c r="F386">
        <v>33</v>
      </c>
      <c r="G386" s="23">
        <v>2</v>
      </c>
      <c r="H386" s="24">
        <f t="shared" si="16"/>
        <v>199</v>
      </c>
      <c r="I386" s="25"/>
      <c r="J386" s="15">
        <f t="shared" si="14"/>
        <v>0</v>
      </c>
      <c r="K386" s="2"/>
    </row>
    <row r="387" spans="1:11" x14ac:dyDescent="0.3">
      <c r="A387" s="21">
        <v>46088</v>
      </c>
      <c r="B387">
        <v>7770</v>
      </c>
      <c r="C387">
        <v>1</v>
      </c>
      <c r="D387" t="s">
        <v>22</v>
      </c>
      <c r="E387" t="s">
        <v>1</v>
      </c>
      <c r="F387">
        <v>101</v>
      </c>
      <c r="G387" s="23">
        <v>11</v>
      </c>
      <c r="H387" s="24">
        <f t="shared" si="16"/>
        <v>611.5</v>
      </c>
      <c r="I387" s="25"/>
      <c r="J387" s="15">
        <f t="shared" si="14"/>
        <v>0</v>
      </c>
      <c r="K387" s="2"/>
    </row>
    <row r="388" spans="1:11" x14ac:dyDescent="0.3">
      <c r="A388" s="21">
        <v>46088</v>
      </c>
      <c r="B388">
        <v>7771</v>
      </c>
      <c r="C388">
        <v>1</v>
      </c>
      <c r="D388" t="s">
        <v>27</v>
      </c>
      <c r="E388" t="s">
        <v>14</v>
      </c>
      <c r="F388">
        <v>33</v>
      </c>
      <c r="G388" s="23">
        <v>9</v>
      </c>
      <c r="H388" s="24">
        <f t="shared" si="16"/>
        <v>202.5</v>
      </c>
      <c r="I388" s="25"/>
      <c r="J388" s="15">
        <f t="shared" si="14"/>
        <v>0</v>
      </c>
      <c r="K388" s="2"/>
    </row>
    <row r="389" spans="1:11" x14ac:dyDescent="0.3">
      <c r="A389" s="21">
        <v>46088</v>
      </c>
      <c r="B389">
        <v>7772</v>
      </c>
      <c r="C389">
        <v>1</v>
      </c>
      <c r="D389" t="s">
        <v>0</v>
      </c>
      <c r="E389" t="s">
        <v>14</v>
      </c>
      <c r="F389">
        <v>33</v>
      </c>
      <c r="G389" s="23">
        <v>10</v>
      </c>
      <c r="H389" s="24">
        <f t="shared" si="16"/>
        <v>203</v>
      </c>
      <c r="I389" s="25"/>
      <c r="J389" s="15">
        <f t="shared" si="14"/>
        <v>0</v>
      </c>
      <c r="K389" s="2"/>
    </row>
    <row r="390" spans="1:11" x14ac:dyDescent="0.3">
      <c r="A390" s="21">
        <v>46088</v>
      </c>
      <c r="B390">
        <v>7773</v>
      </c>
      <c r="C390">
        <v>1</v>
      </c>
      <c r="D390" t="s">
        <v>15</v>
      </c>
      <c r="E390" t="s">
        <v>14</v>
      </c>
      <c r="F390">
        <v>33</v>
      </c>
      <c r="G390" s="23">
        <v>10</v>
      </c>
      <c r="H390" s="24">
        <f t="shared" si="16"/>
        <v>203</v>
      </c>
      <c r="I390" s="25"/>
      <c r="J390" s="15">
        <f t="shared" si="14"/>
        <v>0</v>
      </c>
      <c r="K390" s="2"/>
    </row>
    <row r="391" spans="1:11" x14ac:dyDescent="0.3">
      <c r="A391" s="21">
        <v>46088</v>
      </c>
      <c r="B391">
        <v>7774</v>
      </c>
      <c r="C391">
        <v>1</v>
      </c>
      <c r="D391" t="s">
        <v>23</v>
      </c>
      <c r="E391" t="s">
        <v>14</v>
      </c>
      <c r="F391">
        <v>33</v>
      </c>
      <c r="G391" s="23">
        <v>11</v>
      </c>
      <c r="H391" s="24">
        <f t="shared" si="16"/>
        <v>203.5</v>
      </c>
      <c r="I391" s="25"/>
      <c r="J391" s="15">
        <f t="shared" si="14"/>
        <v>0</v>
      </c>
      <c r="K391" s="2"/>
    </row>
    <row r="392" spans="1:11" x14ac:dyDescent="0.3">
      <c r="A392" s="21">
        <v>46088</v>
      </c>
      <c r="B392">
        <v>7775</v>
      </c>
      <c r="C392">
        <v>1</v>
      </c>
      <c r="D392" t="s">
        <v>17</v>
      </c>
      <c r="E392" t="s">
        <v>1</v>
      </c>
      <c r="F392">
        <v>33</v>
      </c>
      <c r="G392" s="23">
        <v>10</v>
      </c>
      <c r="H392" s="24">
        <f t="shared" si="16"/>
        <v>203</v>
      </c>
      <c r="I392" s="25"/>
      <c r="J392" s="15">
        <f t="shared" si="14"/>
        <v>0</v>
      </c>
      <c r="K392" s="2"/>
    </row>
    <row r="393" spans="1:11" x14ac:dyDescent="0.3">
      <c r="A393" s="21">
        <v>46088</v>
      </c>
      <c r="B393">
        <v>7776</v>
      </c>
      <c r="C393">
        <v>1</v>
      </c>
      <c r="D393" t="s">
        <v>17</v>
      </c>
      <c r="E393" t="s">
        <v>14</v>
      </c>
      <c r="F393">
        <v>131</v>
      </c>
      <c r="G393" s="23">
        <v>20</v>
      </c>
      <c r="H393" s="24">
        <f t="shared" si="16"/>
        <v>796</v>
      </c>
      <c r="I393" s="25"/>
      <c r="J393" s="15">
        <f t="shared" si="14"/>
        <v>0</v>
      </c>
      <c r="K393" s="2"/>
    </row>
    <row r="394" spans="1:11" x14ac:dyDescent="0.3">
      <c r="A394" s="21">
        <v>46088</v>
      </c>
      <c r="B394">
        <v>7777</v>
      </c>
      <c r="C394">
        <v>1</v>
      </c>
      <c r="D394" s="22" t="s">
        <v>7</v>
      </c>
      <c r="E394" t="s">
        <v>8</v>
      </c>
      <c r="F394">
        <v>126</v>
      </c>
      <c r="G394" s="23">
        <v>0</v>
      </c>
      <c r="H394" s="24">
        <f>+F394*5+G394*0.5</f>
        <v>630</v>
      </c>
      <c r="I394" s="25"/>
      <c r="J394" s="15">
        <f t="shared" si="14"/>
        <v>0</v>
      </c>
      <c r="K394" s="2"/>
    </row>
    <row r="395" spans="1:11" x14ac:dyDescent="0.3">
      <c r="A395" s="21">
        <v>46090</v>
      </c>
      <c r="B395">
        <v>7778</v>
      </c>
      <c r="C395">
        <v>1</v>
      </c>
      <c r="D395" t="s">
        <v>22</v>
      </c>
      <c r="E395" t="s">
        <v>1</v>
      </c>
      <c r="F395">
        <v>33</v>
      </c>
      <c r="G395" s="23">
        <v>8</v>
      </c>
      <c r="H395" s="24">
        <f t="shared" si="16"/>
        <v>202</v>
      </c>
      <c r="I395" s="25"/>
      <c r="J395" s="15">
        <f t="shared" si="14"/>
        <v>0</v>
      </c>
      <c r="K395" s="2"/>
    </row>
    <row r="396" spans="1:11" x14ac:dyDescent="0.3">
      <c r="A396" s="21">
        <v>46090</v>
      </c>
      <c r="B396">
        <v>7779</v>
      </c>
      <c r="C396">
        <v>1</v>
      </c>
      <c r="D396" t="s">
        <v>0</v>
      </c>
      <c r="E396" t="s">
        <v>14</v>
      </c>
      <c r="F396">
        <v>35</v>
      </c>
      <c r="G396" s="23">
        <v>7</v>
      </c>
      <c r="H396" s="24">
        <f t="shared" ref="H396:H459" si="18">+F396*6+G396*0.5</f>
        <v>213.5</v>
      </c>
      <c r="I396" s="25"/>
      <c r="J396" s="15">
        <f t="shared" si="14"/>
        <v>0</v>
      </c>
      <c r="K396" s="2"/>
    </row>
    <row r="397" spans="1:11" x14ac:dyDescent="0.3">
      <c r="A397" s="21">
        <v>46090</v>
      </c>
      <c r="B397">
        <v>7780</v>
      </c>
      <c r="C397">
        <v>1</v>
      </c>
      <c r="D397" t="s">
        <v>0</v>
      </c>
      <c r="E397" t="s">
        <v>1</v>
      </c>
      <c r="F397">
        <v>33</v>
      </c>
      <c r="G397" s="23">
        <v>5</v>
      </c>
      <c r="H397" s="24">
        <f t="shared" si="18"/>
        <v>200.5</v>
      </c>
      <c r="I397" s="25"/>
      <c r="J397" s="15">
        <f t="shared" si="14"/>
        <v>0</v>
      </c>
      <c r="K397" s="2"/>
    </row>
    <row r="398" spans="1:11" x14ac:dyDescent="0.3">
      <c r="A398" s="21">
        <v>46090</v>
      </c>
      <c r="B398">
        <v>7781</v>
      </c>
      <c r="C398">
        <v>1</v>
      </c>
      <c r="D398" t="s">
        <v>15</v>
      </c>
      <c r="E398" t="s">
        <v>14</v>
      </c>
      <c r="F398">
        <v>102</v>
      </c>
      <c r="G398" s="23">
        <v>16</v>
      </c>
      <c r="H398" s="24">
        <f t="shared" si="18"/>
        <v>620</v>
      </c>
      <c r="I398" s="25"/>
      <c r="J398" s="15">
        <f t="shared" si="14"/>
        <v>0</v>
      </c>
      <c r="K398" s="2"/>
    </row>
    <row r="399" spans="1:11" x14ac:dyDescent="0.3">
      <c r="A399" s="21">
        <v>46090</v>
      </c>
      <c r="B399">
        <v>7782</v>
      </c>
      <c r="C399">
        <v>1</v>
      </c>
      <c r="D399" t="s">
        <v>16</v>
      </c>
      <c r="E399" t="s">
        <v>53</v>
      </c>
      <c r="F399">
        <v>33</v>
      </c>
      <c r="G399" s="23">
        <v>11</v>
      </c>
      <c r="H399" s="24">
        <f t="shared" si="18"/>
        <v>203.5</v>
      </c>
      <c r="I399" s="39"/>
      <c r="J399" s="15">
        <f t="shared" si="14"/>
        <v>0</v>
      </c>
      <c r="K399" s="2"/>
    </row>
    <row r="400" spans="1:11" x14ac:dyDescent="0.3">
      <c r="A400" s="21">
        <v>46090</v>
      </c>
      <c r="B400">
        <v>7783</v>
      </c>
      <c r="C400">
        <v>1</v>
      </c>
      <c r="D400" t="s">
        <v>23</v>
      </c>
      <c r="E400" t="s">
        <v>14</v>
      </c>
      <c r="F400">
        <v>33</v>
      </c>
      <c r="G400" s="23">
        <v>7</v>
      </c>
      <c r="H400" s="24">
        <f t="shared" si="18"/>
        <v>201.5</v>
      </c>
      <c r="I400" s="25"/>
      <c r="J400" s="15">
        <f t="shared" si="14"/>
        <v>0</v>
      </c>
      <c r="K400" s="2"/>
    </row>
    <row r="401" spans="1:11" x14ac:dyDescent="0.3">
      <c r="A401" s="21">
        <v>46090</v>
      </c>
      <c r="B401">
        <v>7784</v>
      </c>
      <c r="C401">
        <v>1</v>
      </c>
      <c r="D401" t="s">
        <v>17</v>
      </c>
      <c r="E401" t="s">
        <v>14</v>
      </c>
      <c r="F401">
        <v>100</v>
      </c>
      <c r="G401" s="23">
        <v>17</v>
      </c>
      <c r="H401" s="24">
        <f t="shared" si="18"/>
        <v>608.5</v>
      </c>
      <c r="I401" s="25"/>
      <c r="J401" s="15">
        <f t="shared" si="14"/>
        <v>0</v>
      </c>
      <c r="K401" s="2"/>
    </row>
    <row r="402" spans="1:11" x14ac:dyDescent="0.3">
      <c r="A402" s="21">
        <v>46090</v>
      </c>
      <c r="B402">
        <v>7785</v>
      </c>
      <c r="C402">
        <v>1</v>
      </c>
      <c r="D402" t="s">
        <v>17</v>
      </c>
      <c r="E402" t="s">
        <v>1</v>
      </c>
      <c r="F402">
        <v>33</v>
      </c>
      <c r="G402" s="23">
        <v>8</v>
      </c>
      <c r="H402" s="24">
        <f t="shared" si="18"/>
        <v>202</v>
      </c>
      <c r="I402" s="25"/>
      <c r="J402" s="15">
        <f t="shared" si="14"/>
        <v>0</v>
      </c>
      <c r="K402" s="2"/>
    </row>
    <row r="403" spans="1:11" x14ac:dyDescent="0.3">
      <c r="A403" s="21">
        <v>46090</v>
      </c>
      <c r="B403">
        <v>7786</v>
      </c>
      <c r="C403">
        <v>1</v>
      </c>
      <c r="D403" t="s">
        <v>28</v>
      </c>
      <c r="E403" t="s">
        <v>14</v>
      </c>
      <c r="F403">
        <v>33</v>
      </c>
      <c r="G403" s="23">
        <v>8</v>
      </c>
      <c r="H403" s="24">
        <f t="shared" si="18"/>
        <v>202</v>
      </c>
      <c r="I403" s="25"/>
      <c r="J403" s="15">
        <f t="shared" si="14"/>
        <v>0</v>
      </c>
      <c r="K403" s="2"/>
    </row>
    <row r="404" spans="1:11" x14ac:dyDescent="0.3">
      <c r="A404" s="21">
        <v>46090</v>
      </c>
      <c r="B404">
        <v>7787</v>
      </c>
      <c r="C404">
        <v>1</v>
      </c>
      <c r="D404" t="s">
        <v>11</v>
      </c>
      <c r="E404" t="s">
        <v>12</v>
      </c>
      <c r="F404">
        <v>27</v>
      </c>
      <c r="G404" s="23">
        <v>5</v>
      </c>
      <c r="H404" s="24">
        <f>+F404*6+G404*1</f>
        <v>167</v>
      </c>
      <c r="I404" s="25"/>
      <c r="J404" s="15">
        <f t="shared" si="14"/>
        <v>0</v>
      </c>
      <c r="K404" s="2"/>
    </row>
    <row r="405" spans="1:11" x14ac:dyDescent="0.3">
      <c r="A405" s="21">
        <v>46091</v>
      </c>
      <c r="B405">
        <v>7788</v>
      </c>
      <c r="C405">
        <v>1</v>
      </c>
      <c r="D405" t="s">
        <v>15</v>
      </c>
      <c r="E405" t="s">
        <v>14</v>
      </c>
      <c r="F405">
        <v>132</v>
      </c>
      <c r="G405" s="23">
        <v>32</v>
      </c>
      <c r="H405" s="24">
        <f t="shared" si="18"/>
        <v>808</v>
      </c>
      <c r="I405" s="25"/>
      <c r="J405" s="15">
        <f t="shared" si="14"/>
        <v>0</v>
      </c>
      <c r="K405" s="2"/>
    </row>
    <row r="406" spans="1:11" x14ac:dyDescent="0.3">
      <c r="A406" s="21">
        <v>46091</v>
      </c>
      <c r="B406">
        <v>7789</v>
      </c>
      <c r="C406">
        <v>1</v>
      </c>
      <c r="D406" t="s">
        <v>26</v>
      </c>
      <c r="E406" t="s">
        <v>14</v>
      </c>
      <c r="F406">
        <v>33</v>
      </c>
      <c r="G406" s="23">
        <v>7</v>
      </c>
      <c r="H406" s="24">
        <f t="shared" si="18"/>
        <v>201.5</v>
      </c>
      <c r="I406" s="25"/>
      <c r="J406" s="15">
        <f t="shared" si="14"/>
        <v>0</v>
      </c>
      <c r="K406" s="2"/>
    </row>
    <row r="407" spans="1:11" x14ac:dyDescent="0.3">
      <c r="A407" s="21">
        <v>46091</v>
      </c>
      <c r="B407">
        <v>7790</v>
      </c>
      <c r="C407">
        <v>1</v>
      </c>
      <c r="D407" t="s">
        <v>29</v>
      </c>
      <c r="E407" t="s">
        <v>14</v>
      </c>
      <c r="F407">
        <v>101</v>
      </c>
      <c r="G407" s="23">
        <v>25</v>
      </c>
      <c r="H407" s="24">
        <f t="shared" si="18"/>
        <v>618.5</v>
      </c>
      <c r="I407" s="25"/>
      <c r="J407" s="15">
        <f t="shared" si="14"/>
        <v>0</v>
      </c>
      <c r="K407" s="2"/>
    </row>
    <row r="408" spans="1:11" x14ac:dyDescent="0.3">
      <c r="A408" s="21">
        <v>46091</v>
      </c>
      <c r="B408">
        <v>7791</v>
      </c>
      <c r="C408">
        <v>1</v>
      </c>
      <c r="D408" t="s">
        <v>17</v>
      </c>
      <c r="E408" t="s">
        <v>14</v>
      </c>
      <c r="F408">
        <v>165</v>
      </c>
      <c r="G408" s="23">
        <v>41</v>
      </c>
      <c r="H408" s="24">
        <f t="shared" si="18"/>
        <v>1010.5</v>
      </c>
      <c r="I408" s="25"/>
      <c r="J408" s="15">
        <f t="shared" si="14"/>
        <v>0</v>
      </c>
      <c r="K408" s="2"/>
    </row>
    <row r="409" spans="1:11" x14ac:dyDescent="0.3">
      <c r="A409" s="21">
        <v>46091</v>
      </c>
      <c r="B409">
        <v>7792</v>
      </c>
      <c r="C409">
        <v>1</v>
      </c>
      <c r="D409" t="s">
        <v>17</v>
      </c>
      <c r="E409" t="s">
        <v>1</v>
      </c>
      <c r="F409">
        <v>33</v>
      </c>
      <c r="G409" s="23">
        <v>9</v>
      </c>
      <c r="H409" s="24">
        <f t="shared" si="18"/>
        <v>202.5</v>
      </c>
      <c r="I409" s="25"/>
      <c r="J409" s="15">
        <f t="shared" si="14"/>
        <v>0</v>
      </c>
      <c r="K409" s="2"/>
    </row>
    <row r="410" spans="1:11" x14ac:dyDescent="0.3">
      <c r="A410" s="21">
        <v>46091</v>
      </c>
      <c r="B410">
        <v>7793</v>
      </c>
      <c r="C410">
        <v>1</v>
      </c>
      <c r="D410" t="s">
        <v>28</v>
      </c>
      <c r="E410" t="s">
        <v>14</v>
      </c>
      <c r="F410">
        <v>35</v>
      </c>
      <c r="G410" s="23">
        <v>10</v>
      </c>
      <c r="H410" s="24">
        <f t="shared" si="18"/>
        <v>215</v>
      </c>
      <c r="I410" s="25"/>
      <c r="J410" s="15">
        <f t="shared" si="14"/>
        <v>0</v>
      </c>
      <c r="K410" s="2"/>
    </row>
    <row r="411" spans="1:11" x14ac:dyDescent="0.3">
      <c r="A411" s="21">
        <v>46091</v>
      </c>
      <c r="B411">
        <v>7794</v>
      </c>
      <c r="C411">
        <v>1</v>
      </c>
      <c r="D411" t="s">
        <v>36</v>
      </c>
      <c r="E411" t="s">
        <v>14</v>
      </c>
      <c r="F411">
        <v>132</v>
      </c>
      <c r="G411" s="23">
        <v>14</v>
      </c>
      <c r="H411" s="24">
        <f t="shared" si="18"/>
        <v>799</v>
      </c>
      <c r="I411" s="25"/>
      <c r="J411" s="15">
        <f t="shared" si="14"/>
        <v>0</v>
      </c>
      <c r="K411" s="2"/>
    </row>
    <row r="412" spans="1:11" x14ac:dyDescent="0.3">
      <c r="A412" s="21">
        <v>46091</v>
      </c>
      <c r="B412">
        <v>7795</v>
      </c>
      <c r="C412">
        <v>1</v>
      </c>
      <c r="D412" t="s">
        <v>48</v>
      </c>
      <c r="E412" t="s">
        <v>14</v>
      </c>
      <c r="F412">
        <v>33</v>
      </c>
      <c r="G412" s="23">
        <v>11</v>
      </c>
      <c r="H412" s="24">
        <f t="shared" si="18"/>
        <v>203.5</v>
      </c>
      <c r="I412" s="25"/>
      <c r="J412" s="15">
        <f t="shared" si="14"/>
        <v>0</v>
      </c>
      <c r="K412" s="2"/>
    </row>
    <row r="413" spans="1:11" x14ac:dyDescent="0.3">
      <c r="A413" s="21">
        <v>46091</v>
      </c>
      <c r="B413">
        <v>7796</v>
      </c>
      <c r="C413">
        <v>1</v>
      </c>
      <c r="D413" t="s">
        <v>0</v>
      </c>
      <c r="E413" t="s">
        <v>14</v>
      </c>
      <c r="F413">
        <v>35</v>
      </c>
      <c r="G413" s="23">
        <v>10</v>
      </c>
      <c r="H413" s="24">
        <f t="shared" si="18"/>
        <v>215</v>
      </c>
      <c r="I413" s="25"/>
      <c r="J413" s="15">
        <f t="shared" si="14"/>
        <v>0</v>
      </c>
      <c r="K413" s="2"/>
    </row>
    <row r="414" spans="1:11" x14ac:dyDescent="0.3">
      <c r="A414" s="21">
        <v>46091</v>
      </c>
      <c r="B414">
        <v>7797</v>
      </c>
      <c r="C414">
        <v>1</v>
      </c>
      <c r="D414" t="s">
        <v>0</v>
      </c>
      <c r="E414" t="s">
        <v>1</v>
      </c>
      <c r="F414">
        <v>132</v>
      </c>
      <c r="G414" s="23">
        <v>37</v>
      </c>
      <c r="H414" s="24">
        <f t="shared" si="18"/>
        <v>810.5</v>
      </c>
      <c r="I414" s="25"/>
      <c r="J414" s="15">
        <f t="shared" si="14"/>
        <v>0</v>
      </c>
      <c r="K414" s="2"/>
    </row>
    <row r="415" spans="1:11" x14ac:dyDescent="0.3">
      <c r="A415" s="21">
        <v>46091</v>
      </c>
      <c r="B415">
        <v>7798</v>
      </c>
      <c r="C415">
        <v>1</v>
      </c>
      <c r="D415" t="s">
        <v>27</v>
      </c>
      <c r="E415" t="s">
        <v>14</v>
      </c>
      <c r="F415">
        <v>33</v>
      </c>
      <c r="G415" s="23">
        <v>7</v>
      </c>
      <c r="H415" s="24">
        <f t="shared" si="18"/>
        <v>201.5</v>
      </c>
      <c r="I415" s="25"/>
      <c r="J415" s="15">
        <f t="shared" si="14"/>
        <v>0</v>
      </c>
      <c r="K415" s="2"/>
    </row>
    <row r="416" spans="1:11" x14ac:dyDescent="0.3">
      <c r="A416" s="21">
        <v>46091</v>
      </c>
      <c r="B416">
        <v>7799</v>
      </c>
      <c r="C416">
        <v>1</v>
      </c>
      <c r="D416" t="s">
        <v>16</v>
      </c>
      <c r="E416" t="s">
        <v>53</v>
      </c>
      <c r="F416">
        <v>66</v>
      </c>
      <c r="G416" s="23">
        <v>0</v>
      </c>
      <c r="H416" s="24">
        <f t="shared" si="18"/>
        <v>396</v>
      </c>
      <c r="I416" s="39"/>
      <c r="J416" s="15">
        <f t="shared" si="14"/>
        <v>0</v>
      </c>
      <c r="K416" s="2"/>
    </row>
    <row r="417" spans="1:11" x14ac:dyDescent="0.3">
      <c r="A417" s="21">
        <v>46091</v>
      </c>
      <c r="B417">
        <v>7800</v>
      </c>
      <c r="C417">
        <v>1</v>
      </c>
      <c r="D417" s="22" t="s">
        <v>18</v>
      </c>
      <c r="E417" s="28" t="s">
        <v>20</v>
      </c>
      <c r="F417">
        <v>206</v>
      </c>
      <c r="G417" s="23">
        <v>30</v>
      </c>
      <c r="H417" s="24">
        <f>+F417*9+G417*1</f>
        <v>1884</v>
      </c>
      <c r="I417" s="25"/>
      <c r="J417" s="15">
        <f t="shared" si="14"/>
        <v>0</v>
      </c>
      <c r="K417" s="2"/>
    </row>
    <row r="418" spans="1:11" x14ac:dyDescent="0.3">
      <c r="A418" s="21">
        <v>46092</v>
      </c>
      <c r="B418">
        <v>7801</v>
      </c>
      <c r="C418">
        <v>1</v>
      </c>
      <c r="D418" s="22" t="s">
        <v>7</v>
      </c>
      <c r="E418" t="s">
        <v>8</v>
      </c>
      <c r="F418">
        <v>373</v>
      </c>
      <c r="G418" s="23">
        <v>0</v>
      </c>
      <c r="H418" s="24">
        <f>+F418*5+G418*0.5</f>
        <v>1865</v>
      </c>
      <c r="I418" s="25"/>
      <c r="J418" s="15">
        <f t="shared" si="14"/>
        <v>0</v>
      </c>
      <c r="K418" s="2"/>
    </row>
    <row r="419" spans="1:11" x14ac:dyDescent="0.3">
      <c r="A419" s="21">
        <v>46092</v>
      </c>
      <c r="B419">
        <v>7801</v>
      </c>
      <c r="C419">
        <v>2</v>
      </c>
      <c r="D419" s="22" t="s">
        <v>7</v>
      </c>
      <c r="E419" t="s">
        <v>24</v>
      </c>
      <c r="F419">
        <v>40</v>
      </c>
      <c r="G419" s="23">
        <v>0</v>
      </c>
      <c r="H419" s="24">
        <f>+F419*5+G419*0.5</f>
        <v>200</v>
      </c>
      <c r="I419" s="25"/>
      <c r="J419" s="15">
        <f t="shared" si="14"/>
        <v>0</v>
      </c>
      <c r="K419" s="2"/>
    </row>
    <row r="420" spans="1:11" x14ac:dyDescent="0.3">
      <c r="A420" s="21">
        <v>46092</v>
      </c>
      <c r="B420">
        <v>7802</v>
      </c>
      <c r="C420">
        <v>1</v>
      </c>
      <c r="D420" s="22" t="s">
        <v>7</v>
      </c>
      <c r="E420" t="s">
        <v>8</v>
      </c>
      <c r="F420">
        <v>211</v>
      </c>
      <c r="G420" s="23">
        <v>0</v>
      </c>
      <c r="H420" s="24">
        <f>+F420*5+G420*0.5</f>
        <v>1055</v>
      </c>
      <c r="I420" s="25"/>
      <c r="J420" s="15">
        <f t="shared" si="14"/>
        <v>0</v>
      </c>
      <c r="K420" s="2"/>
    </row>
    <row r="421" spans="1:11" x14ac:dyDescent="0.3">
      <c r="A421" s="21">
        <v>46092</v>
      </c>
      <c r="B421">
        <v>7803</v>
      </c>
      <c r="C421">
        <v>1</v>
      </c>
      <c r="D421" s="22" t="s">
        <v>7</v>
      </c>
      <c r="E421" t="s">
        <v>8</v>
      </c>
      <c r="F421">
        <v>414</v>
      </c>
      <c r="G421" s="23">
        <v>0</v>
      </c>
      <c r="H421" s="24">
        <f>+F421*5+G421*0.5</f>
        <v>2070</v>
      </c>
      <c r="I421" s="25"/>
      <c r="J421" s="15">
        <f t="shared" si="14"/>
        <v>0</v>
      </c>
      <c r="K421" s="2"/>
    </row>
    <row r="422" spans="1:11" x14ac:dyDescent="0.3">
      <c r="A422" s="21">
        <v>46093</v>
      </c>
      <c r="B422">
        <v>7804</v>
      </c>
      <c r="C422">
        <v>1</v>
      </c>
      <c r="D422" t="s">
        <v>15</v>
      </c>
      <c r="E422" t="s">
        <v>14</v>
      </c>
      <c r="F422">
        <v>65</v>
      </c>
      <c r="G422" s="23">
        <v>14</v>
      </c>
      <c r="H422" s="24">
        <f t="shared" si="18"/>
        <v>397</v>
      </c>
      <c r="I422" s="25"/>
      <c r="J422" s="15">
        <f t="shared" si="14"/>
        <v>0</v>
      </c>
      <c r="K422" s="2"/>
    </row>
    <row r="423" spans="1:11" x14ac:dyDescent="0.3">
      <c r="A423" s="21">
        <v>46093</v>
      </c>
      <c r="B423">
        <v>7805</v>
      </c>
      <c r="C423">
        <v>1</v>
      </c>
      <c r="D423" t="s">
        <v>29</v>
      </c>
      <c r="E423" t="s">
        <v>14</v>
      </c>
      <c r="F423">
        <v>33</v>
      </c>
      <c r="G423" s="23">
        <v>10</v>
      </c>
      <c r="H423" s="24">
        <f t="shared" si="18"/>
        <v>203</v>
      </c>
      <c r="I423" s="25"/>
      <c r="J423" s="15">
        <f t="shared" si="14"/>
        <v>0</v>
      </c>
      <c r="K423" s="2"/>
    </row>
    <row r="424" spans="1:11" x14ac:dyDescent="0.3">
      <c r="A424" s="21">
        <v>46093</v>
      </c>
      <c r="B424">
        <v>7806</v>
      </c>
      <c r="C424">
        <v>1</v>
      </c>
      <c r="D424" t="s">
        <v>17</v>
      </c>
      <c r="E424" t="s">
        <v>14</v>
      </c>
      <c r="F424">
        <v>203</v>
      </c>
      <c r="G424" s="23">
        <v>44</v>
      </c>
      <c r="H424" s="24">
        <f t="shared" si="18"/>
        <v>1240</v>
      </c>
      <c r="I424" s="25"/>
      <c r="J424" s="15">
        <f t="shared" si="14"/>
        <v>0</v>
      </c>
      <c r="K424" s="2"/>
    </row>
    <row r="425" spans="1:11" x14ac:dyDescent="0.3">
      <c r="A425" s="21">
        <v>46093</v>
      </c>
      <c r="B425">
        <v>7807</v>
      </c>
      <c r="C425">
        <v>1</v>
      </c>
      <c r="D425" t="s">
        <v>17</v>
      </c>
      <c r="E425" t="s">
        <v>1</v>
      </c>
      <c r="F425">
        <v>66</v>
      </c>
      <c r="G425" s="23">
        <v>20</v>
      </c>
      <c r="H425" s="24">
        <f t="shared" si="18"/>
        <v>406</v>
      </c>
      <c r="I425" s="25"/>
      <c r="J425" s="15">
        <f t="shared" si="14"/>
        <v>0</v>
      </c>
      <c r="K425" s="2"/>
    </row>
    <row r="426" spans="1:11" x14ac:dyDescent="0.3">
      <c r="A426" s="21">
        <v>46093</v>
      </c>
      <c r="B426">
        <v>7808</v>
      </c>
      <c r="C426">
        <v>1</v>
      </c>
      <c r="D426" t="s">
        <v>28</v>
      </c>
      <c r="E426" t="s">
        <v>14</v>
      </c>
      <c r="F426">
        <v>33</v>
      </c>
      <c r="G426" s="23">
        <v>10</v>
      </c>
      <c r="H426" s="24">
        <f t="shared" si="18"/>
        <v>203</v>
      </c>
      <c r="I426" s="25"/>
      <c r="J426" s="15">
        <f t="shared" si="14"/>
        <v>0</v>
      </c>
      <c r="K426" s="2"/>
    </row>
    <row r="427" spans="1:11" x14ac:dyDescent="0.3">
      <c r="A427" s="21">
        <v>46094</v>
      </c>
      <c r="B427">
        <v>7809</v>
      </c>
      <c r="C427">
        <v>1</v>
      </c>
      <c r="D427" s="22" t="s">
        <v>18</v>
      </c>
      <c r="E427" s="28" t="s">
        <v>20</v>
      </c>
      <c r="F427">
        <v>125</v>
      </c>
      <c r="G427" s="23">
        <v>14</v>
      </c>
      <c r="H427" s="24">
        <f>+F427*9+G427*1</f>
        <v>1139</v>
      </c>
      <c r="I427" s="25"/>
      <c r="J427" s="15">
        <f t="shared" si="14"/>
        <v>0</v>
      </c>
      <c r="K427" s="2"/>
    </row>
    <row r="428" spans="1:11" x14ac:dyDescent="0.3">
      <c r="A428" s="21">
        <v>46094</v>
      </c>
      <c r="B428">
        <v>7810</v>
      </c>
      <c r="C428">
        <v>1</v>
      </c>
      <c r="D428" t="s">
        <v>36</v>
      </c>
      <c r="E428" t="s">
        <v>14</v>
      </c>
      <c r="F428">
        <v>101</v>
      </c>
      <c r="G428" s="23">
        <v>20</v>
      </c>
      <c r="H428" s="24">
        <f t="shared" si="18"/>
        <v>616</v>
      </c>
      <c r="I428" s="25"/>
      <c r="J428" s="15">
        <f t="shared" si="14"/>
        <v>0</v>
      </c>
      <c r="K428" s="2"/>
    </row>
    <row r="429" spans="1:11" x14ac:dyDescent="0.3">
      <c r="A429" s="21">
        <v>46094</v>
      </c>
      <c r="B429">
        <v>7811</v>
      </c>
      <c r="C429">
        <v>1</v>
      </c>
      <c r="D429" t="s">
        <v>27</v>
      </c>
      <c r="E429" t="s">
        <v>14</v>
      </c>
      <c r="F429">
        <v>33</v>
      </c>
      <c r="G429" s="23">
        <v>2</v>
      </c>
      <c r="H429" s="24">
        <f t="shared" si="18"/>
        <v>199</v>
      </c>
      <c r="I429" s="25"/>
      <c r="J429" s="15">
        <f t="shared" si="14"/>
        <v>0</v>
      </c>
      <c r="K429" s="2"/>
    </row>
    <row r="430" spans="1:11" x14ac:dyDescent="0.3">
      <c r="A430" s="21">
        <v>46094</v>
      </c>
      <c r="B430">
        <v>7812</v>
      </c>
      <c r="C430">
        <v>1</v>
      </c>
      <c r="D430" t="s">
        <v>25</v>
      </c>
      <c r="E430" t="s">
        <v>1</v>
      </c>
      <c r="F430">
        <v>33</v>
      </c>
      <c r="G430" s="23">
        <v>10</v>
      </c>
      <c r="H430" s="24">
        <f t="shared" si="18"/>
        <v>203</v>
      </c>
      <c r="I430" s="25"/>
      <c r="J430" s="15">
        <f t="shared" si="14"/>
        <v>0</v>
      </c>
      <c r="K430" s="2"/>
    </row>
    <row r="431" spans="1:11" x14ac:dyDescent="0.3">
      <c r="A431" s="21">
        <v>46094</v>
      </c>
      <c r="B431">
        <v>7813</v>
      </c>
      <c r="C431">
        <v>1</v>
      </c>
      <c r="D431" t="s">
        <v>0</v>
      </c>
      <c r="E431" t="s">
        <v>1</v>
      </c>
      <c r="F431">
        <v>66</v>
      </c>
      <c r="G431" s="23">
        <v>18</v>
      </c>
      <c r="H431" s="24">
        <f t="shared" si="18"/>
        <v>405</v>
      </c>
      <c r="I431" s="25"/>
      <c r="J431" s="15">
        <f t="shared" si="14"/>
        <v>0</v>
      </c>
      <c r="K431" s="2"/>
    </row>
    <row r="432" spans="1:11" x14ac:dyDescent="0.3">
      <c r="A432" s="21">
        <v>46094</v>
      </c>
      <c r="B432">
        <v>7814</v>
      </c>
      <c r="C432">
        <v>1</v>
      </c>
      <c r="D432" t="s">
        <v>16</v>
      </c>
      <c r="E432" t="s">
        <v>53</v>
      </c>
      <c r="F432">
        <v>66</v>
      </c>
      <c r="G432" s="23">
        <v>21</v>
      </c>
      <c r="H432" s="24">
        <f t="shared" si="18"/>
        <v>406.5</v>
      </c>
      <c r="I432" s="39"/>
      <c r="J432" s="15">
        <f t="shared" si="14"/>
        <v>0</v>
      </c>
      <c r="K432" s="2"/>
    </row>
    <row r="433" spans="1:15" x14ac:dyDescent="0.3">
      <c r="A433" s="21">
        <v>46094</v>
      </c>
      <c r="B433">
        <v>7815</v>
      </c>
      <c r="C433">
        <v>1</v>
      </c>
      <c r="D433" t="s">
        <v>15</v>
      </c>
      <c r="E433" t="s">
        <v>14</v>
      </c>
      <c r="F433">
        <v>33</v>
      </c>
      <c r="G433" s="23">
        <v>9</v>
      </c>
      <c r="H433" s="24">
        <f t="shared" si="18"/>
        <v>202.5</v>
      </c>
      <c r="I433" s="25"/>
      <c r="J433" s="15">
        <f t="shared" si="14"/>
        <v>0</v>
      </c>
      <c r="K433" s="2"/>
    </row>
    <row r="434" spans="1:15" x14ac:dyDescent="0.3">
      <c r="A434" s="21">
        <v>46094</v>
      </c>
      <c r="B434">
        <v>7816</v>
      </c>
      <c r="C434">
        <v>1</v>
      </c>
      <c r="D434" t="s">
        <v>42</v>
      </c>
      <c r="E434" t="s">
        <v>32</v>
      </c>
      <c r="F434">
        <v>75</v>
      </c>
      <c r="G434" s="23">
        <v>11</v>
      </c>
      <c r="H434" s="24">
        <f>+F434*9+G434*1</f>
        <v>686</v>
      </c>
      <c r="I434" s="25"/>
      <c r="J434" s="15">
        <f t="shared" si="14"/>
        <v>0</v>
      </c>
      <c r="K434" s="2"/>
    </row>
    <row r="435" spans="1:15" x14ac:dyDescent="0.3">
      <c r="A435" s="21">
        <v>46094</v>
      </c>
      <c r="B435">
        <v>7817</v>
      </c>
      <c r="C435">
        <v>1</v>
      </c>
      <c r="D435" s="22" t="s">
        <v>7</v>
      </c>
      <c r="E435" t="s">
        <v>8</v>
      </c>
      <c r="F435">
        <v>206</v>
      </c>
      <c r="G435" s="23">
        <v>0</v>
      </c>
      <c r="H435" s="24">
        <f>+F435*5+G435*0.5</f>
        <v>1030</v>
      </c>
      <c r="I435" s="25"/>
      <c r="J435" s="15">
        <f t="shared" si="14"/>
        <v>0</v>
      </c>
      <c r="K435" s="2"/>
    </row>
    <row r="436" spans="1:15" x14ac:dyDescent="0.3">
      <c r="A436" s="21">
        <v>46094</v>
      </c>
      <c r="B436">
        <v>7818</v>
      </c>
      <c r="C436">
        <v>1</v>
      </c>
      <c r="D436" s="22" t="s">
        <v>18</v>
      </c>
      <c r="E436" t="s">
        <v>32</v>
      </c>
      <c r="F436">
        <v>103</v>
      </c>
      <c r="G436" s="23">
        <v>13</v>
      </c>
      <c r="H436" s="24">
        <f>+F436*9+G436*1</f>
        <v>940</v>
      </c>
      <c r="I436" s="25"/>
      <c r="J436" s="15">
        <f t="shared" si="14"/>
        <v>0</v>
      </c>
      <c r="K436" s="2"/>
    </row>
    <row r="437" spans="1:15" x14ac:dyDescent="0.3">
      <c r="A437" s="21">
        <v>46094</v>
      </c>
      <c r="B437">
        <v>7819</v>
      </c>
      <c r="C437">
        <v>1</v>
      </c>
      <c r="D437" s="22" t="s">
        <v>7</v>
      </c>
      <c r="E437" t="s">
        <v>54</v>
      </c>
      <c r="F437">
        <v>1</v>
      </c>
      <c r="G437" s="23">
        <v>0</v>
      </c>
      <c r="H437" s="24">
        <f>+F437*5+G437*0.5</f>
        <v>5</v>
      </c>
      <c r="I437" s="25"/>
      <c r="J437" s="15">
        <f t="shared" si="14"/>
        <v>0</v>
      </c>
      <c r="K437" s="2"/>
    </row>
    <row r="438" spans="1:15" x14ac:dyDescent="0.3">
      <c r="A438" s="21">
        <v>46094</v>
      </c>
      <c r="B438">
        <v>7820</v>
      </c>
      <c r="C438">
        <v>1</v>
      </c>
      <c r="D438" t="s">
        <v>42</v>
      </c>
      <c r="E438" t="s">
        <v>32</v>
      </c>
      <c r="F438">
        <v>20</v>
      </c>
      <c r="G438" s="23">
        <v>8</v>
      </c>
      <c r="H438" s="24">
        <f>+F438*9+G438*1</f>
        <v>188</v>
      </c>
      <c r="I438" s="25"/>
      <c r="J438" s="15">
        <f t="shared" si="14"/>
        <v>0</v>
      </c>
      <c r="K438" s="2"/>
    </row>
    <row r="439" spans="1:15" x14ac:dyDescent="0.3">
      <c r="A439" s="21">
        <v>46094</v>
      </c>
      <c r="B439">
        <v>7821</v>
      </c>
      <c r="C439">
        <v>1</v>
      </c>
      <c r="D439" t="s">
        <v>36</v>
      </c>
      <c r="E439" t="s">
        <v>14</v>
      </c>
      <c r="F439">
        <v>33</v>
      </c>
      <c r="G439" s="23">
        <v>7</v>
      </c>
      <c r="H439" s="24">
        <f t="shared" si="18"/>
        <v>201.5</v>
      </c>
      <c r="I439" s="25"/>
      <c r="J439" s="15">
        <f t="shared" si="14"/>
        <v>0</v>
      </c>
      <c r="K439" s="2"/>
    </row>
    <row r="440" spans="1:15" x14ac:dyDescent="0.3">
      <c r="A440" s="21">
        <v>46094</v>
      </c>
      <c r="B440">
        <v>7822</v>
      </c>
      <c r="C440">
        <v>1</v>
      </c>
      <c r="D440" t="s">
        <v>27</v>
      </c>
      <c r="E440" t="s">
        <v>14</v>
      </c>
      <c r="F440">
        <v>66</v>
      </c>
      <c r="G440" s="23">
        <v>15</v>
      </c>
      <c r="H440" s="24">
        <f t="shared" si="18"/>
        <v>403.5</v>
      </c>
      <c r="I440" s="25"/>
      <c r="J440" s="15">
        <f t="shared" si="14"/>
        <v>0</v>
      </c>
      <c r="K440" s="2"/>
    </row>
    <row r="441" spans="1:15" x14ac:dyDescent="0.3">
      <c r="A441" s="21">
        <v>46094</v>
      </c>
      <c r="B441">
        <v>7823</v>
      </c>
      <c r="C441">
        <v>1</v>
      </c>
      <c r="D441" t="s">
        <v>48</v>
      </c>
      <c r="E441" t="s">
        <v>14</v>
      </c>
      <c r="F441">
        <v>33</v>
      </c>
      <c r="G441" s="23">
        <v>7</v>
      </c>
      <c r="H441" s="24">
        <f t="shared" si="18"/>
        <v>201.5</v>
      </c>
      <c r="I441" s="25"/>
      <c r="J441" s="15">
        <f t="shared" si="14"/>
        <v>0</v>
      </c>
      <c r="K441" s="2"/>
    </row>
    <row r="442" spans="1:15" x14ac:dyDescent="0.3">
      <c r="A442" s="21">
        <v>46094</v>
      </c>
      <c r="B442">
        <v>7824</v>
      </c>
      <c r="C442">
        <v>1</v>
      </c>
      <c r="D442" t="s">
        <v>0</v>
      </c>
      <c r="E442" t="s">
        <v>1</v>
      </c>
      <c r="F442">
        <v>33</v>
      </c>
      <c r="G442" s="23">
        <v>11</v>
      </c>
      <c r="H442" s="24">
        <f t="shared" si="18"/>
        <v>203.5</v>
      </c>
      <c r="I442" s="25"/>
      <c r="J442" s="15">
        <f t="shared" si="14"/>
        <v>0</v>
      </c>
      <c r="K442" s="2"/>
    </row>
    <row r="443" spans="1:15" x14ac:dyDescent="0.3">
      <c r="A443" s="21">
        <v>46094</v>
      </c>
      <c r="B443">
        <v>7825</v>
      </c>
      <c r="C443">
        <v>1</v>
      </c>
      <c r="D443" t="s">
        <v>15</v>
      </c>
      <c r="E443" t="s">
        <v>14</v>
      </c>
      <c r="F443">
        <v>101</v>
      </c>
      <c r="G443" s="23">
        <v>25</v>
      </c>
      <c r="H443" s="24">
        <f t="shared" si="18"/>
        <v>618.5</v>
      </c>
      <c r="I443" s="25"/>
      <c r="J443" s="15">
        <f t="shared" si="14"/>
        <v>0</v>
      </c>
      <c r="K443" s="2"/>
    </row>
    <row r="444" spans="1:15" x14ac:dyDescent="0.3">
      <c r="A444" s="21">
        <v>46094</v>
      </c>
      <c r="B444">
        <v>7826</v>
      </c>
      <c r="C444">
        <v>1</v>
      </c>
      <c r="D444" t="s">
        <v>28</v>
      </c>
      <c r="E444" t="s">
        <v>14</v>
      </c>
      <c r="F444">
        <v>66</v>
      </c>
      <c r="G444" s="23">
        <v>18</v>
      </c>
      <c r="H444" s="24">
        <f t="shared" si="18"/>
        <v>405</v>
      </c>
      <c r="I444" s="25"/>
      <c r="J444" s="15">
        <f t="shared" si="14"/>
        <v>0</v>
      </c>
      <c r="K444" s="2"/>
    </row>
    <row r="445" spans="1:15" x14ac:dyDescent="0.3">
      <c r="A445" s="21">
        <v>46094</v>
      </c>
      <c r="B445">
        <v>7827</v>
      </c>
      <c r="C445">
        <v>1</v>
      </c>
      <c r="D445" s="22" t="s">
        <v>18</v>
      </c>
      <c r="E445" s="28" t="s">
        <v>20</v>
      </c>
      <c r="F445">
        <v>42</v>
      </c>
      <c r="G445" s="23">
        <v>9</v>
      </c>
      <c r="H445" s="24">
        <f>+F445*9+G445*1</f>
        <v>387</v>
      </c>
      <c r="I445" s="25"/>
      <c r="J445" s="15">
        <f t="shared" si="14"/>
        <v>0</v>
      </c>
      <c r="K445" s="2"/>
    </row>
    <row r="446" spans="1:15" x14ac:dyDescent="0.3">
      <c r="A446" s="35">
        <v>46094</v>
      </c>
      <c r="B446" s="36">
        <v>7828</v>
      </c>
      <c r="C446" s="36">
        <v>1</v>
      </c>
      <c r="D446" s="36" t="s">
        <v>21</v>
      </c>
      <c r="E446" s="36">
        <v>0</v>
      </c>
      <c r="F446" s="36">
        <v>0</v>
      </c>
      <c r="G446" s="37">
        <v>0</v>
      </c>
      <c r="H446" s="38">
        <f t="shared" si="18"/>
        <v>0</v>
      </c>
      <c r="I446" s="39"/>
      <c r="J446" s="15">
        <f t="shared" si="14"/>
        <v>0</v>
      </c>
      <c r="K446" s="40"/>
      <c r="L446" s="36"/>
      <c r="M446" s="36"/>
      <c r="N446" s="36"/>
      <c r="O446" s="36"/>
    </row>
    <row r="447" spans="1:15" x14ac:dyDescent="0.3">
      <c r="A447" s="21">
        <v>46095</v>
      </c>
      <c r="B447">
        <v>7829</v>
      </c>
      <c r="C447">
        <v>1</v>
      </c>
      <c r="D447" s="22" t="s">
        <v>7</v>
      </c>
      <c r="E447" t="s">
        <v>8</v>
      </c>
      <c r="F447">
        <v>204</v>
      </c>
      <c r="G447" s="23">
        <v>0</v>
      </c>
      <c r="H447" s="24">
        <f>+F447*5+G447*0.5</f>
        <v>1020</v>
      </c>
      <c r="I447" s="25"/>
      <c r="J447" s="15">
        <f t="shared" si="14"/>
        <v>0</v>
      </c>
      <c r="K447" s="2"/>
    </row>
    <row r="448" spans="1:15" x14ac:dyDescent="0.3">
      <c r="A448" s="21">
        <v>46095</v>
      </c>
      <c r="B448">
        <v>7830</v>
      </c>
      <c r="C448">
        <v>1</v>
      </c>
      <c r="D448" t="s">
        <v>36</v>
      </c>
      <c r="E448" t="s">
        <v>14</v>
      </c>
      <c r="F448">
        <v>99</v>
      </c>
      <c r="G448" s="23">
        <v>16</v>
      </c>
      <c r="H448" s="24">
        <f t="shared" si="18"/>
        <v>602</v>
      </c>
      <c r="I448" s="25"/>
      <c r="J448" s="15">
        <f t="shared" si="14"/>
        <v>0</v>
      </c>
      <c r="K448" s="2"/>
    </row>
    <row r="449" spans="1:11" x14ac:dyDescent="0.3">
      <c r="A449" s="21">
        <v>46095</v>
      </c>
      <c r="B449">
        <v>7831</v>
      </c>
      <c r="C449">
        <v>1</v>
      </c>
      <c r="D449" t="s">
        <v>0</v>
      </c>
      <c r="E449" t="s">
        <v>1</v>
      </c>
      <c r="F449">
        <v>66</v>
      </c>
      <c r="G449" s="23">
        <v>15</v>
      </c>
      <c r="H449" s="24">
        <f t="shared" si="18"/>
        <v>403.5</v>
      </c>
      <c r="I449" s="25"/>
      <c r="J449" s="15">
        <f t="shared" si="14"/>
        <v>0</v>
      </c>
      <c r="K449" s="2"/>
    </row>
    <row r="450" spans="1:11" x14ac:dyDescent="0.3">
      <c r="A450" s="21">
        <v>46095</v>
      </c>
      <c r="B450">
        <v>7832</v>
      </c>
      <c r="C450">
        <v>1</v>
      </c>
      <c r="D450" t="s">
        <v>28</v>
      </c>
      <c r="E450" t="s">
        <v>1</v>
      </c>
      <c r="F450">
        <v>33</v>
      </c>
      <c r="G450" s="23">
        <v>5</v>
      </c>
      <c r="H450" s="24">
        <f t="shared" si="18"/>
        <v>200.5</v>
      </c>
      <c r="I450" s="25"/>
      <c r="J450" s="15">
        <f t="shared" si="14"/>
        <v>0</v>
      </c>
      <c r="K450" s="2"/>
    </row>
    <row r="451" spans="1:11" x14ac:dyDescent="0.3">
      <c r="A451" s="21">
        <v>46095</v>
      </c>
      <c r="B451">
        <v>7833</v>
      </c>
      <c r="C451">
        <v>1</v>
      </c>
      <c r="D451" t="s">
        <v>29</v>
      </c>
      <c r="E451" t="s">
        <v>14</v>
      </c>
      <c r="F451">
        <v>33</v>
      </c>
      <c r="G451" s="23">
        <v>6</v>
      </c>
      <c r="H451" s="24">
        <f t="shared" si="18"/>
        <v>201</v>
      </c>
      <c r="I451" s="25"/>
      <c r="J451" s="15">
        <f t="shared" si="14"/>
        <v>0</v>
      </c>
      <c r="K451" s="2"/>
    </row>
    <row r="452" spans="1:11" x14ac:dyDescent="0.3">
      <c r="A452" s="21">
        <v>46095</v>
      </c>
      <c r="B452">
        <v>7834</v>
      </c>
      <c r="C452">
        <v>1</v>
      </c>
      <c r="D452" t="s">
        <v>27</v>
      </c>
      <c r="E452" t="s">
        <v>14</v>
      </c>
      <c r="F452">
        <v>33</v>
      </c>
      <c r="G452" s="23">
        <v>9</v>
      </c>
      <c r="H452" s="24">
        <f t="shared" si="18"/>
        <v>202.5</v>
      </c>
      <c r="I452" s="25"/>
      <c r="J452" s="15">
        <f t="shared" si="14"/>
        <v>0</v>
      </c>
      <c r="K452" s="2"/>
    </row>
    <row r="453" spans="1:11" x14ac:dyDescent="0.3">
      <c r="A453" s="21">
        <v>46095</v>
      </c>
      <c r="B453">
        <v>7835</v>
      </c>
      <c r="C453">
        <v>1</v>
      </c>
      <c r="D453" t="s">
        <v>0</v>
      </c>
      <c r="E453" t="s">
        <v>14</v>
      </c>
      <c r="F453">
        <v>33</v>
      </c>
      <c r="G453" s="23">
        <v>9</v>
      </c>
      <c r="H453" s="24">
        <f t="shared" si="18"/>
        <v>202.5</v>
      </c>
      <c r="I453" s="25"/>
      <c r="J453" s="15">
        <f t="shared" si="14"/>
        <v>0</v>
      </c>
      <c r="K453" s="2"/>
    </row>
    <row r="454" spans="1:11" x14ac:dyDescent="0.3">
      <c r="A454" s="21">
        <v>46097</v>
      </c>
      <c r="B454">
        <v>7836</v>
      </c>
      <c r="C454">
        <v>1</v>
      </c>
      <c r="D454" s="22" t="s">
        <v>18</v>
      </c>
      <c r="E454" s="28" t="s">
        <v>20</v>
      </c>
      <c r="F454">
        <v>84</v>
      </c>
      <c r="G454" s="23">
        <v>13</v>
      </c>
      <c r="H454" s="24">
        <f>+F454*9+G454*1</f>
        <v>769</v>
      </c>
      <c r="I454" s="25"/>
      <c r="J454" s="15">
        <f t="shared" si="14"/>
        <v>0</v>
      </c>
      <c r="K454" s="2"/>
    </row>
    <row r="455" spans="1:11" x14ac:dyDescent="0.3">
      <c r="A455" s="21">
        <v>46097</v>
      </c>
      <c r="B455">
        <v>7837</v>
      </c>
      <c r="C455">
        <v>1</v>
      </c>
      <c r="D455" t="s">
        <v>11</v>
      </c>
      <c r="E455" t="s">
        <v>12</v>
      </c>
      <c r="F455">
        <v>33</v>
      </c>
      <c r="G455" s="23">
        <v>3</v>
      </c>
      <c r="H455" s="24">
        <f>+F455*6+G455*1</f>
        <v>201</v>
      </c>
      <c r="I455" s="25"/>
      <c r="J455" s="15">
        <f t="shared" si="14"/>
        <v>0</v>
      </c>
      <c r="K455" s="2"/>
    </row>
    <row r="456" spans="1:11" x14ac:dyDescent="0.3">
      <c r="A456" s="21">
        <v>46098</v>
      </c>
      <c r="B456">
        <v>7838</v>
      </c>
      <c r="C456">
        <v>1</v>
      </c>
      <c r="D456" t="s">
        <v>36</v>
      </c>
      <c r="E456" t="s">
        <v>14</v>
      </c>
      <c r="F456">
        <v>99</v>
      </c>
      <c r="G456" s="23">
        <v>28</v>
      </c>
      <c r="H456" s="24">
        <f t="shared" si="18"/>
        <v>608</v>
      </c>
      <c r="I456" s="25"/>
      <c r="J456" s="15">
        <f t="shared" si="14"/>
        <v>0</v>
      </c>
      <c r="K456" s="2"/>
    </row>
    <row r="457" spans="1:11" x14ac:dyDescent="0.3">
      <c r="A457" s="21">
        <v>46098</v>
      </c>
      <c r="B457">
        <v>7839</v>
      </c>
      <c r="C457">
        <v>1</v>
      </c>
      <c r="D457" t="s">
        <v>0</v>
      </c>
      <c r="E457" t="s">
        <v>14</v>
      </c>
      <c r="F457">
        <v>133</v>
      </c>
      <c r="G457" s="23">
        <v>23</v>
      </c>
      <c r="H457" s="24">
        <f t="shared" si="18"/>
        <v>809.5</v>
      </c>
      <c r="I457" s="25"/>
      <c r="J457" s="15">
        <f t="shared" si="14"/>
        <v>0</v>
      </c>
      <c r="K457" s="2"/>
    </row>
    <row r="458" spans="1:11" x14ac:dyDescent="0.3">
      <c r="A458" s="21">
        <v>46098</v>
      </c>
      <c r="B458">
        <v>7840</v>
      </c>
      <c r="C458">
        <v>1</v>
      </c>
      <c r="D458" t="s">
        <v>15</v>
      </c>
      <c r="E458" t="s">
        <v>14</v>
      </c>
      <c r="F458">
        <v>68</v>
      </c>
      <c r="G458" s="23">
        <v>0</v>
      </c>
      <c r="H458" s="24">
        <f t="shared" si="18"/>
        <v>408</v>
      </c>
      <c r="I458" s="25"/>
      <c r="J458" s="15">
        <f t="shared" si="14"/>
        <v>0</v>
      </c>
      <c r="K458" s="2"/>
    </row>
    <row r="459" spans="1:11" x14ac:dyDescent="0.3">
      <c r="A459" s="21">
        <v>46098</v>
      </c>
      <c r="B459">
        <v>7841</v>
      </c>
      <c r="C459">
        <v>1</v>
      </c>
      <c r="D459" t="s">
        <v>23</v>
      </c>
      <c r="E459" t="s">
        <v>14</v>
      </c>
      <c r="F459">
        <v>67</v>
      </c>
      <c r="G459" s="23">
        <v>7</v>
      </c>
      <c r="H459" s="24">
        <f t="shared" si="18"/>
        <v>405.5</v>
      </c>
      <c r="I459" s="25"/>
      <c r="J459" s="15">
        <f t="shared" si="14"/>
        <v>0</v>
      </c>
      <c r="K459" s="2"/>
    </row>
    <row r="460" spans="1:11" x14ac:dyDescent="0.3">
      <c r="A460" s="21">
        <v>46098</v>
      </c>
      <c r="B460">
        <v>7842</v>
      </c>
      <c r="C460">
        <v>1</v>
      </c>
      <c r="D460" t="s">
        <v>28</v>
      </c>
      <c r="E460" t="s">
        <v>1</v>
      </c>
      <c r="F460">
        <v>33</v>
      </c>
      <c r="G460" s="23">
        <v>10</v>
      </c>
      <c r="H460" s="24">
        <f t="shared" ref="H460:H518" si="19">+F460*6+G460*0.5</f>
        <v>203</v>
      </c>
      <c r="I460" s="25"/>
      <c r="J460" s="15">
        <f t="shared" si="14"/>
        <v>0</v>
      </c>
      <c r="K460" s="2"/>
    </row>
    <row r="461" spans="1:11" x14ac:dyDescent="0.3">
      <c r="A461" s="21">
        <v>46098</v>
      </c>
      <c r="B461">
        <v>7843</v>
      </c>
      <c r="C461">
        <v>1</v>
      </c>
      <c r="D461" t="s">
        <v>16</v>
      </c>
      <c r="E461" t="s">
        <v>14</v>
      </c>
      <c r="F461">
        <v>165</v>
      </c>
      <c r="G461" s="23">
        <v>35</v>
      </c>
      <c r="H461" s="24">
        <f t="shared" si="19"/>
        <v>1007.5</v>
      </c>
      <c r="I461" s="25"/>
      <c r="J461" s="15">
        <f t="shared" si="14"/>
        <v>0</v>
      </c>
      <c r="K461" s="2"/>
    </row>
    <row r="462" spans="1:11" x14ac:dyDescent="0.3">
      <c r="A462" s="21">
        <v>46098</v>
      </c>
      <c r="B462">
        <v>7844</v>
      </c>
      <c r="C462">
        <v>1</v>
      </c>
      <c r="D462" s="22" t="s">
        <v>18</v>
      </c>
      <c r="E462" s="28" t="s">
        <v>20</v>
      </c>
      <c r="F462">
        <v>44</v>
      </c>
      <c r="G462" s="23">
        <v>3</v>
      </c>
      <c r="H462" s="24">
        <f>+F462*9+G462*1</f>
        <v>399</v>
      </c>
      <c r="I462" s="25"/>
      <c r="J462" s="15">
        <f t="shared" si="14"/>
        <v>0</v>
      </c>
      <c r="K462" s="2"/>
    </row>
    <row r="463" spans="1:11" x14ac:dyDescent="0.3">
      <c r="A463" s="21">
        <v>46099</v>
      </c>
      <c r="B463">
        <v>7845</v>
      </c>
      <c r="C463">
        <v>1</v>
      </c>
      <c r="D463" s="22" t="s">
        <v>7</v>
      </c>
      <c r="E463" t="s">
        <v>8</v>
      </c>
      <c r="F463">
        <v>284</v>
      </c>
      <c r="G463" s="23">
        <v>0</v>
      </c>
      <c r="H463" s="24">
        <f>+F463*5+G463*0.5</f>
        <v>1420</v>
      </c>
      <c r="I463" s="25"/>
      <c r="J463" s="15">
        <f t="shared" si="14"/>
        <v>0</v>
      </c>
      <c r="K463" s="2"/>
    </row>
    <row r="464" spans="1:11" x14ac:dyDescent="0.3">
      <c r="A464" s="21">
        <v>46099</v>
      </c>
      <c r="B464">
        <v>7845</v>
      </c>
      <c r="C464">
        <v>2</v>
      </c>
      <c r="D464" s="22" t="s">
        <v>7</v>
      </c>
      <c r="E464" t="s">
        <v>24</v>
      </c>
      <c r="F464">
        <v>40</v>
      </c>
      <c r="G464" s="23">
        <v>0</v>
      </c>
      <c r="H464" s="24">
        <f t="shared" ref="H464:H470" si="20">+F464*5+G464*0.5</f>
        <v>200</v>
      </c>
      <c r="I464" s="25"/>
      <c r="J464" s="15">
        <f t="shared" si="14"/>
        <v>0</v>
      </c>
      <c r="K464" s="2"/>
    </row>
    <row r="465" spans="1:11" x14ac:dyDescent="0.3">
      <c r="A465" s="21">
        <v>46099</v>
      </c>
      <c r="B465">
        <v>7845</v>
      </c>
      <c r="C465">
        <v>3</v>
      </c>
      <c r="D465" s="22" t="s">
        <v>7</v>
      </c>
      <c r="E465" t="s">
        <v>3</v>
      </c>
      <c r="F465">
        <v>77</v>
      </c>
      <c r="G465" s="23">
        <v>0</v>
      </c>
      <c r="H465" s="24">
        <f t="shared" si="20"/>
        <v>385</v>
      </c>
      <c r="I465" s="25"/>
      <c r="J465" s="15">
        <f t="shared" si="14"/>
        <v>0</v>
      </c>
      <c r="K465" s="2"/>
    </row>
    <row r="466" spans="1:11" x14ac:dyDescent="0.3">
      <c r="A466" s="21">
        <v>46099</v>
      </c>
      <c r="B466">
        <v>7846</v>
      </c>
      <c r="C466">
        <v>1</v>
      </c>
      <c r="D466" s="22" t="s">
        <v>7</v>
      </c>
      <c r="E466" t="s">
        <v>8</v>
      </c>
      <c r="F466">
        <v>330</v>
      </c>
      <c r="G466" s="23">
        <v>0</v>
      </c>
      <c r="H466" s="24">
        <f t="shared" si="20"/>
        <v>1650</v>
      </c>
      <c r="I466" s="25"/>
      <c r="J466" s="15">
        <f t="shared" si="14"/>
        <v>0</v>
      </c>
      <c r="K466" s="2"/>
    </row>
    <row r="467" spans="1:11" x14ac:dyDescent="0.3">
      <c r="A467" s="21">
        <v>46099</v>
      </c>
      <c r="B467">
        <v>7846</v>
      </c>
      <c r="C467">
        <v>2</v>
      </c>
      <c r="D467" s="22" t="s">
        <v>7</v>
      </c>
      <c r="E467" t="s">
        <v>4</v>
      </c>
      <c r="F467">
        <v>75</v>
      </c>
      <c r="G467" s="23">
        <v>0</v>
      </c>
      <c r="H467" s="24">
        <f t="shared" si="20"/>
        <v>375</v>
      </c>
      <c r="I467" s="25"/>
      <c r="J467" s="15">
        <f t="shared" si="14"/>
        <v>0</v>
      </c>
      <c r="K467" s="2"/>
    </row>
    <row r="468" spans="1:11" x14ac:dyDescent="0.3">
      <c r="A468" s="21">
        <v>46099</v>
      </c>
      <c r="B468">
        <v>7847</v>
      </c>
      <c r="C468">
        <v>1</v>
      </c>
      <c r="D468" s="22" t="s">
        <v>7</v>
      </c>
      <c r="E468" t="s">
        <v>8</v>
      </c>
      <c r="F468">
        <v>85</v>
      </c>
      <c r="G468" s="23">
        <v>0</v>
      </c>
      <c r="H468" s="24">
        <f t="shared" si="20"/>
        <v>425</v>
      </c>
      <c r="I468" s="25"/>
      <c r="J468" s="15">
        <f t="shared" si="14"/>
        <v>0</v>
      </c>
      <c r="K468" s="2"/>
    </row>
    <row r="469" spans="1:11" x14ac:dyDescent="0.3">
      <c r="A469" s="21">
        <v>46099</v>
      </c>
      <c r="B469">
        <v>7847</v>
      </c>
      <c r="C469">
        <v>2</v>
      </c>
      <c r="D469" s="22" t="s">
        <v>7</v>
      </c>
      <c r="E469" t="s">
        <v>4</v>
      </c>
      <c r="F469">
        <v>42</v>
      </c>
      <c r="G469" s="23">
        <v>0</v>
      </c>
      <c r="H469" s="24">
        <f t="shared" si="20"/>
        <v>210</v>
      </c>
      <c r="I469" s="25"/>
      <c r="J469" s="15">
        <f t="shared" si="14"/>
        <v>0</v>
      </c>
      <c r="K469" s="2"/>
    </row>
    <row r="470" spans="1:11" x14ac:dyDescent="0.3">
      <c r="A470" s="21">
        <v>46099</v>
      </c>
      <c r="B470">
        <v>7847</v>
      </c>
      <c r="C470">
        <v>3</v>
      </c>
      <c r="D470" s="22" t="s">
        <v>7</v>
      </c>
      <c r="E470" t="s">
        <v>24</v>
      </c>
      <c r="F470">
        <v>39</v>
      </c>
      <c r="G470" s="23">
        <v>0</v>
      </c>
      <c r="H470" s="24">
        <f t="shared" si="20"/>
        <v>195</v>
      </c>
      <c r="I470" s="25"/>
      <c r="J470" s="15">
        <f t="shared" si="14"/>
        <v>0</v>
      </c>
      <c r="K470" s="2"/>
    </row>
    <row r="471" spans="1:11" x14ac:dyDescent="0.3">
      <c r="A471" s="21">
        <v>46100</v>
      </c>
      <c r="B471">
        <v>7848</v>
      </c>
      <c r="C471">
        <v>1</v>
      </c>
      <c r="D471" t="s">
        <v>16</v>
      </c>
      <c r="E471" t="s">
        <v>14</v>
      </c>
      <c r="F471">
        <v>198</v>
      </c>
      <c r="G471" s="23">
        <v>47</v>
      </c>
      <c r="H471" s="24">
        <f t="shared" si="19"/>
        <v>1211.5</v>
      </c>
      <c r="I471" s="25"/>
      <c r="J471" s="15">
        <f t="shared" si="14"/>
        <v>0</v>
      </c>
      <c r="K471" s="2"/>
    </row>
    <row r="472" spans="1:11" x14ac:dyDescent="0.3">
      <c r="A472" s="21">
        <v>46100</v>
      </c>
      <c r="B472">
        <v>7849</v>
      </c>
      <c r="C472">
        <v>1</v>
      </c>
      <c r="D472" t="s">
        <v>15</v>
      </c>
      <c r="E472" t="s">
        <v>14</v>
      </c>
      <c r="F472">
        <v>68</v>
      </c>
      <c r="G472" s="23">
        <v>12</v>
      </c>
      <c r="H472" s="24">
        <f t="shared" si="19"/>
        <v>414</v>
      </c>
      <c r="I472" s="25"/>
      <c r="J472" s="15">
        <f t="shared" si="14"/>
        <v>0</v>
      </c>
      <c r="K472" s="2"/>
    </row>
    <row r="473" spans="1:11" x14ac:dyDescent="0.3">
      <c r="A473" s="21">
        <v>46100</v>
      </c>
      <c r="B473">
        <v>7850</v>
      </c>
      <c r="C473">
        <v>1</v>
      </c>
      <c r="D473" t="s">
        <v>29</v>
      </c>
      <c r="E473" t="s">
        <v>14</v>
      </c>
      <c r="F473">
        <v>66</v>
      </c>
      <c r="G473" s="23">
        <v>17</v>
      </c>
      <c r="H473" s="24">
        <f t="shared" si="19"/>
        <v>404.5</v>
      </c>
      <c r="I473" s="25"/>
      <c r="J473" s="15">
        <f t="shared" si="14"/>
        <v>0</v>
      </c>
      <c r="K473" s="2"/>
    </row>
    <row r="474" spans="1:11" x14ac:dyDescent="0.3">
      <c r="A474" s="21">
        <v>46100</v>
      </c>
      <c r="B474">
        <v>7851</v>
      </c>
      <c r="C474">
        <v>1</v>
      </c>
      <c r="D474" t="s">
        <v>17</v>
      </c>
      <c r="E474" t="s">
        <v>14</v>
      </c>
      <c r="F474">
        <v>33</v>
      </c>
      <c r="G474" s="23">
        <v>7</v>
      </c>
      <c r="H474" s="24">
        <f t="shared" si="19"/>
        <v>201.5</v>
      </c>
      <c r="I474" s="25"/>
      <c r="J474" s="15">
        <f t="shared" si="14"/>
        <v>0</v>
      </c>
      <c r="K474" s="2"/>
    </row>
    <row r="475" spans="1:11" x14ac:dyDescent="0.3">
      <c r="A475" s="21">
        <v>46100</v>
      </c>
      <c r="B475">
        <v>7852</v>
      </c>
      <c r="C475">
        <v>1</v>
      </c>
      <c r="D475" t="s">
        <v>28</v>
      </c>
      <c r="E475" t="s">
        <v>1</v>
      </c>
      <c r="F475">
        <v>33</v>
      </c>
      <c r="G475" s="23">
        <v>10</v>
      </c>
      <c r="H475" s="24">
        <f t="shared" si="19"/>
        <v>203</v>
      </c>
      <c r="I475" s="25"/>
      <c r="J475" s="15">
        <f t="shared" si="14"/>
        <v>0</v>
      </c>
      <c r="K475" s="2"/>
    </row>
    <row r="476" spans="1:11" x14ac:dyDescent="0.3">
      <c r="A476" s="21">
        <v>46100</v>
      </c>
      <c r="B476">
        <v>7853</v>
      </c>
      <c r="C476">
        <v>1</v>
      </c>
      <c r="D476" t="s">
        <v>35</v>
      </c>
      <c r="E476" s="28" t="s">
        <v>20</v>
      </c>
      <c r="F476">
        <v>66</v>
      </c>
      <c r="G476" s="23">
        <v>3</v>
      </c>
      <c r="H476" s="24">
        <f>+F476*9+G476*1</f>
        <v>597</v>
      </c>
      <c r="I476" s="25"/>
      <c r="J476" s="15">
        <f t="shared" si="14"/>
        <v>0</v>
      </c>
      <c r="K476" s="2"/>
    </row>
    <row r="477" spans="1:11" x14ac:dyDescent="0.3">
      <c r="A477" s="21">
        <v>46100</v>
      </c>
      <c r="B477">
        <v>7854</v>
      </c>
      <c r="C477">
        <v>1</v>
      </c>
      <c r="D477" t="s">
        <v>0</v>
      </c>
      <c r="E477" t="s">
        <v>14</v>
      </c>
      <c r="F477">
        <v>33</v>
      </c>
      <c r="G477" s="23">
        <v>11</v>
      </c>
      <c r="H477" s="24">
        <f t="shared" si="19"/>
        <v>203.5</v>
      </c>
      <c r="I477" s="25"/>
      <c r="J477" s="15">
        <f t="shared" si="14"/>
        <v>0</v>
      </c>
      <c r="K477" s="2"/>
    </row>
    <row r="478" spans="1:11" x14ac:dyDescent="0.3">
      <c r="A478" s="21">
        <v>46100</v>
      </c>
      <c r="B478">
        <v>7855</v>
      </c>
      <c r="C478">
        <v>1</v>
      </c>
      <c r="D478" t="s">
        <v>36</v>
      </c>
      <c r="E478" t="s">
        <v>14</v>
      </c>
      <c r="F478">
        <v>33</v>
      </c>
      <c r="G478" s="23">
        <v>9</v>
      </c>
      <c r="H478" s="24">
        <f t="shared" si="19"/>
        <v>202.5</v>
      </c>
      <c r="I478" s="25"/>
      <c r="J478" s="15">
        <f t="shared" si="14"/>
        <v>0</v>
      </c>
      <c r="K478" s="2"/>
    </row>
    <row r="479" spans="1:11" x14ac:dyDescent="0.3">
      <c r="A479" s="21">
        <v>46100</v>
      </c>
      <c r="B479">
        <v>7856</v>
      </c>
      <c r="C479">
        <v>1</v>
      </c>
      <c r="D479" t="s">
        <v>39</v>
      </c>
      <c r="E479" t="s">
        <v>1</v>
      </c>
      <c r="F479">
        <v>34</v>
      </c>
      <c r="G479" s="23">
        <v>0</v>
      </c>
      <c r="H479" s="24">
        <f t="shared" si="19"/>
        <v>204</v>
      </c>
      <c r="I479" s="25"/>
      <c r="J479" s="15">
        <f t="shared" si="14"/>
        <v>0</v>
      </c>
      <c r="K479" s="2"/>
    </row>
    <row r="480" spans="1:11" x14ac:dyDescent="0.3">
      <c r="A480" s="21">
        <v>46101</v>
      </c>
      <c r="B480">
        <v>7857</v>
      </c>
      <c r="C480">
        <v>1</v>
      </c>
      <c r="D480" t="s">
        <v>51</v>
      </c>
      <c r="E480" t="s">
        <v>1</v>
      </c>
      <c r="F480">
        <v>33</v>
      </c>
      <c r="G480" s="23">
        <v>10</v>
      </c>
      <c r="H480" s="24">
        <f t="shared" si="19"/>
        <v>203</v>
      </c>
      <c r="I480" s="25"/>
      <c r="J480" s="15">
        <f t="shared" si="14"/>
        <v>0</v>
      </c>
      <c r="K480" s="2"/>
    </row>
    <row r="481" spans="1:11" x14ac:dyDescent="0.3">
      <c r="A481" s="21">
        <v>46101</v>
      </c>
      <c r="B481">
        <v>7858</v>
      </c>
      <c r="C481">
        <v>1</v>
      </c>
      <c r="D481" t="s">
        <v>36</v>
      </c>
      <c r="E481" t="s">
        <v>14</v>
      </c>
      <c r="F481">
        <v>33</v>
      </c>
      <c r="G481" s="23">
        <v>6</v>
      </c>
      <c r="H481" s="24">
        <f t="shared" si="19"/>
        <v>201</v>
      </c>
      <c r="I481" s="25"/>
      <c r="J481" s="15">
        <f t="shared" si="14"/>
        <v>0</v>
      </c>
      <c r="K481" s="2"/>
    </row>
    <row r="482" spans="1:11" x14ac:dyDescent="0.3">
      <c r="A482" s="21">
        <v>46101</v>
      </c>
      <c r="B482">
        <v>7859</v>
      </c>
      <c r="C482">
        <v>1</v>
      </c>
      <c r="D482" t="s">
        <v>27</v>
      </c>
      <c r="E482" t="s">
        <v>14</v>
      </c>
      <c r="F482">
        <v>33</v>
      </c>
      <c r="G482" s="23">
        <v>11</v>
      </c>
      <c r="H482" s="24">
        <f t="shared" si="19"/>
        <v>203.5</v>
      </c>
      <c r="I482" s="25"/>
      <c r="J482" s="15">
        <f t="shared" si="14"/>
        <v>0</v>
      </c>
      <c r="K482" s="2"/>
    </row>
    <row r="483" spans="1:11" x14ac:dyDescent="0.3">
      <c r="A483" s="21">
        <v>46101</v>
      </c>
      <c r="B483">
        <v>7860</v>
      </c>
      <c r="C483">
        <v>1</v>
      </c>
      <c r="D483" t="s">
        <v>0</v>
      </c>
      <c r="E483" t="s">
        <v>14</v>
      </c>
      <c r="F483">
        <v>66</v>
      </c>
      <c r="G483" s="23">
        <v>15</v>
      </c>
      <c r="H483" s="24">
        <f t="shared" si="19"/>
        <v>403.5</v>
      </c>
      <c r="I483" s="25"/>
      <c r="J483" s="15">
        <f t="shared" si="14"/>
        <v>0</v>
      </c>
      <c r="K483" s="2"/>
    </row>
    <row r="484" spans="1:11" x14ac:dyDescent="0.3">
      <c r="A484" s="21">
        <v>46101</v>
      </c>
      <c r="B484">
        <v>7861</v>
      </c>
      <c r="C484">
        <v>1</v>
      </c>
      <c r="D484" t="s">
        <v>16</v>
      </c>
      <c r="E484" t="s">
        <v>14</v>
      </c>
      <c r="F484">
        <v>68</v>
      </c>
      <c r="G484" s="23">
        <v>8</v>
      </c>
      <c r="H484" s="24">
        <f t="shared" si="19"/>
        <v>412</v>
      </c>
      <c r="I484" s="25"/>
      <c r="J484" s="15">
        <f t="shared" si="14"/>
        <v>0</v>
      </c>
      <c r="K484" s="2"/>
    </row>
    <row r="485" spans="1:11" x14ac:dyDescent="0.3">
      <c r="A485" s="21">
        <v>46101</v>
      </c>
      <c r="B485">
        <v>7862</v>
      </c>
      <c r="C485">
        <v>1</v>
      </c>
      <c r="D485" t="s">
        <v>17</v>
      </c>
      <c r="E485" t="s">
        <v>1</v>
      </c>
      <c r="F485">
        <v>68</v>
      </c>
      <c r="G485" s="23">
        <v>0</v>
      </c>
      <c r="H485" s="24">
        <f t="shared" si="19"/>
        <v>408</v>
      </c>
      <c r="I485" s="25"/>
      <c r="J485" s="15">
        <f t="shared" si="14"/>
        <v>0</v>
      </c>
      <c r="K485" s="2"/>
    </row>
    <row r="486" spans="1:11" x14ac:dyDescent="0.3">
      <c r="A486" s="21">
        <v>46101</v>
      </c>
      <c r="B486">
        <v>7863</v>
      </c>
      <c r="C486">
        <v>1</v>
      </c>
      <c r="D486" t="s">
        <v>17</v>
      </c>
      <c r="E486" t="s">
        <v>14</v>
      </c>
      <c r="F486">
        <v>35</v>
      </c>
      <c r="G486" s="23">
        <v>0</v>
      </c>
      <c r="H486" s="24">
        <f t="shared" si="19"/>
        <v>210</v>
      </c>
      <c r="I486" s="25"/>
      <c r="J486" s="15">
        <f t="shared" si="14"/>
        <v>0</v>
      </c>
      <c r="K486" s="2"/>
    </row>
    <row r="487" spans="1:11" x14ac:dyDescent="0.3">
      <c r="A487" s="21">
        <v>46101</v>
      </c>
      <c r="B487">
        <v>7864</v>
      </c>
      <c r="C487">
        <v>1</v>
      </c>
      <c r="D487" s="22" t="s">
        <v>18</v>
      </c>
      <c r="E487" s="28" t="s">
        <v>20</v>
      </c>
      <c r="F487">
        <v>42</v>
      </c>
      <c r="G487" s="23">
        <v>11</v>
      </c>
      <c r="H487" s="24">
        <f>+F487*9+G487*1</f>
        <v>389</v>
      </c>
      <c r="I487" s="25"/>
      <c r="J487" s="15">
        <f t="shared" si="14"/>
        <v>0</v>
      </c>
      <c r="K487" s="2"/>
    </row>
    <row r="488" spans="1:11" x14ac:dyDescent="0.3">
      <c r="A488" s="21">
        <v>46102</v>
      </c>
      <c r="B488">
        <v>7865</v>
      </c>
      <c r="C488">
        <v>1</v>
      </c>
      <c r="D488" t="s">
        <v>0</v>
      </c>
      <c r="E488" t="s">
        <v>14</v>
      </c>
      <c r="F488">
        <v>68</v>
      </c>
      <c r="G488" s="23">
        <v>20</v>
      </c>
      <c r="H488" s="24">
        <f t="shared" si="19"/>
        <v>418</v>
      </c>
      <c r="I488" s="25"/>
      <c r="J488" s="15">
        <f t="shared" si="14"/>
        <v>0</v>
      </c>
      <c r="K488" s="2"/>
    </row>
    <row r="489" spans="1:11" x14ac:dyDescent="0.3">
      <c r="A489" s="21">
        <v>46102</v>
      </c>
      <c r="B489">
        <v>7866</v>
      </c>
      <c r="C489">
        <v>1</v>
      </c>
      <c r="D489" t="s">
        <v>16</v>
      </c>
      <c r="E489" t="s">
        <v>14</v>
      </c>
      <c r="F489">
        <v>35</v>
      </c>
      <c r="G489" s="23">
        <v>7</v>
      </c>
      <c r="H489" s="24">
        <f t="shared" si="19"/>
        <v>213.5</v>
      </c>
      <c r="I489" s="25"/>
      <c r="J489" s="15">
        <f t="shared" si="14"/>
        <v>0</v>
      </c>
      <c r="K489" s="2"/>
    </row>
    <row r="490" spans="1:11" x14ac:dyDescent="0.3">
      <c r="A490" s="21">
        <v>46102</v>
      </c>
      <c r="B490">
        <v>7867</v>
      </c>
      <c r="C490">
        <v>1</v>
      </c>
      <c r="D490" t="s">
        <v>15</v>
      </c>
      <c r="E490" t="s">
        <v>14</v>
      </c>
      <c r="F490">
        <v>33</v>
      </c>
      <c r="G490" s="23">
        <v>7</v>
      </c>
      <c r="H490" s="24">
        <f t="shared" si="19"/>
        <v>201.5</v>
      </c>
      <c r="I490" s="25"/>
      <c r="J490" s="15">
        <f t="shared" si="14"/>
        <v>0</v>
      </c>
      <c r="K490" s="2"/>
    </row>
    <row r="491" spans="1:11" x14ac:dyDescent="0.3">
      <c r="A491" s="21">
        <v>46102</v>
      </c>
      <c r="B491">
        <v>7868</v>
      </c>
      <c r="C491">
        <v>1</v>
      </c>
      <c r="D491" t="s">
        <v>23</v>
      </c>
      <c r="E491" t="s">
        <v>14</v>
      </c>
      <c r="F491">
        <v>69</v>
      </c>
      <c r="G491" s="23">
        <v>10</v>
      </c>
      <c r="H491" s="24">
        <f t="shared" si="19"/>
        <v>419</v>
      </c>
      <c r="I491" s="25"/>
      <c r="J491" s="15">
        <f t="shared" si="14"/>
        <v>0</v>
      </c>
      <c r="K491" s="2"/>
    </row>
    <row r="492" spans="1:11" x14ac:dyDescent="0.3">
      <c r="A492" s="21">
        <v>46102</v>
      </c>
      <c r="B492">
        <v>7869</v>
      </c>
      <c r="C492">
        <v>1</v>
      </c>
      <c r="D492" t="s">
        <v>17</v>
      </c>
      <c r="E492" t="s">
        <v>14</v>
      </c>
      <c r="F492">
        <v>35</v>
      </c>
      <c r="G492" s="23">
        <v>10</v>
      </c>
      <c r="H492" s="24">
        <f t="shared" si="19"/>
        <v>215</v>
      </c>
      <c r="I492" s="25"/>
      <c r="J492" s="15">
        <f t="shared" si="14"/>
        <v>0</v>
      </c>
      <c r="K492" s="2"/>
    </row>
    <row r="493" spans="1:11" x14ac:dyDescent="0.3">
      <c r="A493" s="21">
        <v>46102</v>
      </c>
      <c r="B493">
        <v>7870</v>
      </c>
      <c r="C493">
        <v>1</v>
      </c>
      <c r="D493" t="s">
        <v>41</v>
      </c>
      <c r="E493" t="s">
        <v>14</v>
      </c>
      <c r="F493">
        <v>33</v>
      </c>
      <c r="G493" s="23">
        <v>8</v>
      </c>
      <c r="H493" s="24">
        <f t="shared" si="19"/>
        <v>202</v>
      </c>
      <c r="I493" s="25"/>
      <c r="J493" s="15">
        <f t="shared" si="14"/>
        <v>0</v>
      </c>
      <c r="K493" s="2"/>
    </row>
    <row r="494" spans="1:11" x14ac:dyDescent="0.3">
      <c r="A494" s="21">
        <v>46102</v>
      </c>
      <c r="B494">
        <v>7871</v>
      </c>
      <c r="C494">
        <v>1</v>
      </c>
      <c r="D494" s="22" t="s">
        <v>18</v>
      </c>
      <c r="E494" s="28" t="s">
        <v>20</v>
      </c>
      <c r="F494">
        <v>20</v>
      </c>
      <c r="G494" s="23">
        <v>8</v>
      </c>
      <c r="H494" s="24">
        <f>+F494*9+G494*1</f>
        <v>188</v>
      </c>
      <c r="I494" s="25"/>
      <c r="J494" s="15">
        <f t="shared" si="14"/>
        <v>0</v>
      </c>
      <c r="K494" s="2"/>
    </row>
    <row r="495" spans="1:11" x14ac:dyDescent="0.3">
      <c r="A495" s="21">
        <v>46102</v>
      </c>
      <c r="B495">
        <v>7872</v>
      </c>
      <c r="C495">
        <v>1</v>
      </c>
      <c r="D495" t="s">
        <v>42</v>
      </c>
      <c r="E495" t="s">
        <v>32</v>
      </c>
      <c r="F495">
        <v>16</v>
      </c>
      <c r="G495" s="23">
        <v>8</v>
      </c>
      <c r="H495" s="24">
        <f>+F495*9+G495*1</f>
        <v>152</v>
      </c>
      <c r="I495" s="25"/>
      <c r="J495" s="15">
        <f t="shared" si="14"/>
        <v>0</v>
      </c>
      <c r="K495" s="2"/>
    </row>
    <row r="496" spans="1:11" x14ac:dyDescent="0.3">
      <c r="A496" s="21">
        <v>46104</v>
      </c>
      <c r="B496">
        <v>7873</v>
      </c>
      <c r="C496">
        <v>1</v>
      </c>
      <c r="D496" t="s">
        <v>29</v>
      </c>
      <c r="E496" t="s">
        <v>14</v>
      </c>
      <c r="F496">
        <v>33</v>
      </c>
      <c r="G496" s="23">
        <v>7</v>
      </c>
      <c r="H496" s="24">
        <f t="shared" si="19"/>
        <v>201.5</v>
      </c>
      <c r="I496" s="25"/>
      <c r="J496" s="15">
        <f t="shared" si="14"/>
        <v>0</v>
      </c>
      <c r="K496" s="2"/>
    </row>
    <row r="497" spans="1:11" x14ac:dyDescent="0.3">
      <c r="A497" s="21">
        <v>46104</v>
      </c>
      <c r="B497">
        <v>7874</v>
      </c>
      <c r="C497">
        <v>1</v>
      </c>
      <c r="D497" t="s">
        <v>17</v>
      </c>
      <c r="E497" t="s">
        <v>14</v>
      </c>
      <c r="F497">
        <v>35</v>
      </c>
      <c r="G497" s="23">
        <v>7</v>
      </c>
      <c r="H497" s="24">
        <f t="shared" si="19"/>
        <v>213.5</v>
      </c>
      <c r="I497" s="25"/>
      <c r="J497" s="15">
        <f t="shared" si="14"/>
        <v>0</v>
      </c>
      <c r="K497" s="2"/>
    </row>
    <row r="498" spans="1:11" x14ac:dyDescent="0.3">
      <c r="A498" s="21">
        <v>46104</v>
      </c>
      <c r="B498">
        <v>7875</v>
      </c>
      <c r="C498">
        <v>1</v>
      </c>
      <c r="D498" t="s">
        <v>15</v>
      </c>
      <c r="E498" t="s">
        <v>14</v>
      </c>
      <c r="F498">
        <v>100</v>
      </c>
      <c r="G498" s="23">
        <v>24</v>
      </c>
      <c r="H498" s="24">
        <f t="shared" si="19"/>
        <v>612</v>
      </c>
      <c r="I498" s="25"/>
      <c r="J498" s="15">
        <f t="shared" si="14"/>
        <v>0</v>
      </c>
      <c r="K498" s="2"/>
    </row>
    <row r="499" spans="1:11" x14ac:dyDescent="0.3">
      <c r="A499" s="21">
        <v>46104</v>
      </c>
      <c r="B499">
        <v>7876</v>
      </c>
      <c r="C499">
        <v>1</v>
      </c>
      <c r="D499" t="s">
        <v>0</v>
      </c>
      <c r="E499" t="s">
        <v>14</v>
      </c>
      <c r="F499">
        <v>35</v>
      </c>
      <c r="G499" s="23">
        <v>2</v>
      </c>
      <c r="H499" s="24">
        <f t="shared" si="19"/>
        <v>211</v>
      </c>
      <c r="I499" s="25"/>
      <c r="J499" s="15">
        <f t="shared" si="14"/>
        <v>0</v>
      </c>
      <c r="K499" s="2"/>
    </row>
    <row r="500" spans="1:11" x14ac:dyDescent="0.3">
      <c r="A500" s="21">
        <v>46104</v>
      </c>
      <c r="B500">
        <v>7877</v>
      </c>
      <c r="C500">
        <v>1</v>
      </c>
      <c r="D500" t="s">
        <v>40</v>
      </c>
      <c r="E500" t="s">
        <v>1</v>
      </c>
      <c r="F500">
        <v>67</v>
      </c>
      <c r="G500" s="23">
        <v>11</v>
      </c>
      <c r="H500" s="24">
        <f t="shared" si="19"/>
        <v>407.5</v>
      </c>
      <c r="I500" s="25"/>
      <c r="J500" s="15">
        <f t="shared" si="14"/>
        <v>0</v>
      </c>
      <c r="K500" s="2"/>
    </row>
    <row r="501" spans="1:11" x14ac:dyDescent="0.3">
      <c r="A501" s="21">
        <v>46105</v>
      </c>
      <c r="B501">
        <v>7878</v>
      </c>
      <c r="C501">
        <v>1</v>
      </c>
      <c r="D501" t="s">
        <v>35</v>
      </c>
      <c r="E501" s="28" t="s">
        <v>20</v>
      </c>
      <c r="F501">
        <v>42</v>
      </c>
      <c r="G501" s="23">
        <v>16</v>
      </c>
      <c r="H501" s="24">
        <f>+F501*9+G501*1</f>
        <v>394</v>
      </c>
      <c r="I501" s="25"/>
      <c r="J501" s="15">
        <f t="shared" si="14"/>
        <v>0</v>
      </c>
      <c r="K501" s="2"/>
    </row>
    <row r="502" spans="1:11" x14ac:dyDescent="0.3">
      <c r="A502" s="21">
        <v>46105</v>
      </c>
      <c r="B502">
        <v>7879</v>
      </c>
      <c r="C502">
        <v>1</v>
      </c>
      <c r="D502" t="s">
        <v>25</v>
      </c>
      <c r="E502" t="s">
        <v>1</v>
      </c>
      <c r="F502">
        <v>34</v>
      </c>
      <c r="G502" s="23">
        <v>0</v>
      </c>
      <c r="H502" s="24">
        <f t="shared" si="19"/>
        <v>204</v>
      </c>
      <c r="I502" s="25"/>
      <c r="J502" s="15">
        <f t="shared" si="14"/>
        <v>0</v>
      </c>
      <c r="K502" s="2"/>
    </row>
    <row r="503" spans="1:11" x14ac:dyDescent="0.3">
      <c r="A503" s="21">
        <v>46105</v>
      </c>
      <c r="B503">
        <v>7880</v>
      </c>
      <c r="C503">
        <v>1</v>
      </c>
      <c r="D503" t="s">
        <v>16</v>
      </c>
      <c r="E503" t="s">
        <v>14</v>
      </c>
      <c r="F503">
        <v>231</v>
      </c>
      <c r="G503" s="23">
        <v>71</v>
      </c>
      <c r="H503" s="24">
        <f t="shared" si="19"/>
        <v>1421.5</v>
      </c>
      <c r="I503" s="25"/>
      <c r="J503" s="15">
        <f t="shared" si="14"/>
        <v>0</v>
      </c>
      <c r="K503" s="2"/>
    </row>
    <row r="504" spans="1:11" x14ac:dyDescent="0.3">
      <c r="A504" s="21">
        <v>46105</v>
      </c>
      <c r="B504">
        <v>7881</v>
      </c>
      <c r="C504">
        <v>1</v>
      </c>
      <c r="D504" t="s">
        <v>29</v>
      </c>
      <c r="E504" t="s">
        <v>14</v>
      </c>
      <c r="F504">
        <v>33</v>
      </c>
      <c r="G504" s="23">
        <v>5</v>
      </c>
      <c r="H504" s="24">
        <f t="shared" si="19"/>
        <v>200.5</v>
      </c>
      <c r="I504" s="25"/>
      <c r="J504" s="15">
        <f t="shared" si="14"/>
        <v>0</v>
      </c>
      <c r="K504" s="2"/>
    </row>
    <row r="505" spans="1:11" x14ac:dyDescent="0.3">
      <c r="A505" s="21">
        <v>46105</v>
      </c>
      <c r="B505">
        <v>7882</v>
      </c>
      <c r="C505">
        <v>1</v>
      </c>
      <c r="D505" t="s">
        <v>17</v>
      </c>
      <c r="E505" t="s">
        <v>14</v>
      </c>
      <c r="F505">
        <v>33</v>
      </c>
      <c r="G505" s="23">
        <v>9</v>
      </c>
      <c r="H505" s="24">
        <f t="shared" si="19"/>
        <v>202.5</v>
      </c>
      <c r="I505" s="25"/>
      <c r="J505" s="15">
        <f t="shared" si="14"/>
        <v>0</v>
      </c>
      <c r="K505" s="2"/>
    </row>
    <row r="506" spans="1:11" x14ac:dyDescent="0.3">
      <c r="A506" s="21">
        <v>46105</v>
      </c>
      <c r="B506">
        <v>7883</v>
      </c>
      <c r="C506">
        <v>1</v>
      </c>
      <c r="D506" s="22" t="s">
        <v>18</v>
      </c>
      <c r="E506" s="28" t="s">
        <v>20</v>
      </c>
      <c r="F506">
        <v>87</v>
      </c>
      <c r="G506" s="23">
        <v>6</v>
      </c>
      <c r="H506" s="24">
        <f>+F506*9+G506*1</f>
        <v>789</v>
      </c>
      <c r="I506" s="25"/>
      <c r="J506" s="15">
        <f t="shared" si="14"/>
        <v>0</v>
      </c>
      <c r="K506" s="2"/>
    </row>
    <row r="507" spans="1:11" x14ac:dyDescent="0.3">
      <c r="A507" s="21">
        <v>46105</v>
      </c>
      <c r="B507">
        <v>7883</v>
      </c>
      <c r="C507">
        <v>1</v>
      </c>
      <c r="D507" s="22" t="s">
        <v>18</v>
      </c>
      <c r="E507" t="s">
        <v>31</v>
      </c>
      <c r="F507">
        <v>151</v>
      </c>
      <c r="G507" s="23">
        <v>0</v>
      </c>
      <c r="H507" s="24">
        <f>+F507*10.5+G507*1</f>
        <v>1585.5</v>
      </c>
      <c r="I507" s="25"/>
      <c r="J507" s="15">
        <f t="shared" si="14"/>
        <v>0</v>
      </c>
      <c r="K507" s="2"/>
    </row>
    <row r="508" spans="1:11" x14ac:dyDescent="0.3">
      <c r="A508" s="21">
        <v>46106</v>
      </c>
      <c r="B508">
        <v>7884</v>
      </c>
      <c r="C508">
        <v>1</v>
      </c>
      <c r="D508" t="s">
        <v>2</v>
      </c>
      <c r="E508" t="s">
        <v>46</v>
      </c>
      <c r="F508">
        <v>40</v>
      </c>
      <c r="G508" s="23">
        <v>0</v>
      </c>
      <c r="H508" s="24">
        <f>+F508*5+G508*0.5</f>
        <v>200</v>
      </c>
      <c r="I508" s="25"/>
      <c r="J508" s="15">
        <f t="shared" si="14"/>
        <v>0</v>
      </c>
      <c r="K508" s="2"/>
    </row>
    <row r="509" spans="1:11" x14ac:dyDescent="0.3">
      <c r="A509" s="21">
        <v>46106</v>
      </c>
      <c r="B509">
        <v>7884</v>
      </c>
      <c r="C509">
        <v>2</v>
      </c>
      <c r="D509" t="s">
        <v>2</v>
      </c>
      <c r="E509" t="s">
        <v>50</v>
      </c>
      <c r="F509">
        <v>59</v>
      </c>
      <c r="G509" s="23">
        <v>0</v>
      </c>
      <c r="H509" s="24">
        <f>+F509*5+G509*0.5</f>
        <v>295</v>
      </c>
      <c r="I509" s="25"/>
      <c r="J509" s="15">
        <f t="shared" si="14"/>
        <v>0</v>
      </c>
      <c r="K509" s="2"/>
    </row>
    <row r="510" spans="1:11" x14ac:dyDescent="0.3">
      <c r="A510" s="21">
        <v>46106</v>
      </c>
      <c r="B510">
        <v>7885</v>
      </c>
      <c r="C510">
        <v>1</v>
      </c>
      <c r="D510" t="s">
        <v>22</v>
      </c>
      <c r="E510" t="s">
        <v>1</v>
      </c>
      <c r="F510">
        <v>330</v>
      </c>
      <c r="G510" s="23">
        <v>80</v>
      </c>
      <c r="H510" s="24">
        <f t="shared" si="19"/>
        <v>2020</v>
      </c>
      <c r="I510" s="25"/>
      <c r="J510" s="15">
        <f t="shared" si="14"/>
        <v>0</v>
      </c>
      <c r="K510" s="2"/>
    </row>
    <row r="511" spans="1:11" x14ac:dyDescent="0.3">
      <c r="A511" s="21">
        <v>46106</v>
      </c>
      <c r="B511">
        <v>7886</v>
      </c>
      <c r="C511">
        <v>1</v>
      </c>
      <c r="D511" t="s">
        <v>36</v>
      </c>
      <c r="E511" t="s">
        <v>14</v>
      </c>
      <c r="F511">
        <v>35</v>
      </c>
      <c r="G511" s="23">
        <v>4</v>
      </c>
      <c r="H511" s="24">
        <f t="shared" si="19"/>
        <v>212</v>
      </c>
      <c r="I511" s="25"/>
      <c r="J511" s="15">
        <f t="shared" si="14"/>
        <v>0</v>
      </c>
      <c r="K511" s="2"/>
    </row>
    <row r="512" spans="1:11" x14ac:dyDescent="0.3">
      <c r="A512" s="21">
        <v>46107</v>
      </c>
      <c r="B512">
        <v>7887</v>
      </c>
      <c r="C512">
        <v>1</v>
      </c>
      <c r="D512" t="s">
        <v>22</v>
      </c>
      <c r="E512" t="s">
        <v>1</v>
      </c>
      <c r="F512">
        <v>434</v>
      </c>
      <c r="G512" s="23">
        <v>71</v>
      </c>
      <c r="H512" s="24">
        <f t="shared" si="19"/>
        <v>2639.5</v>
      </c>
      <c r="I512" s="25"/>
      <c r="J512" s="15">
        <f t="shared" si="14"/>
        <v>0</v>
      </c>
      <c r="K512" s="2"/>
    </row>
    <row r="513" spans="1:11" x14ac:dyDescent="0.3">
      <c r="A513" s="21">
        <v>46107</v>
      </c>
      <c r="B513">
        <v>7888</v>
      </c>
      <c r="C513">
        <v>1</v>
      </c>
      <c r="D513" s="22" t="s">
        <v>18</v>
      </c>
      <c r="E513" s="28" t="s">
        <v>20</v>
      </c>
      <c r="F513">
        <v>88</v>
      </c>
      <c r="G513" s="23">
        <v>7</v>
      </c>
      <c r="H513" s="24">
        <f>+F513*9+G513*1</f>
        <v>799</v>
      </c>
      <c r="I513" s="25"/>
      <c r="J513" s="15">
        <f t="shared" ref="J513:J767" si="21">+H513*I513</f>
        <v>0</v>
      </c>
      <c r="K513" s="2"/>
    </row>
    <row r="514" spans="1:11" x14ac:dyDescent="0.3">
      <c r="A514" s="21">
        <v>46107</v>
      </c>
      <c r="B514">
        <v>7889</v>
      </c>
      <c r="C514">
        <v>1</v>
      </c>
      <c r="D514" t="s">
        <v>17</v>
      </c>
      <c r="E514" t="s">
        <v>14</v>
      </c>
      <c r="F514">
        <v>333</v>
      </c>
      <c r="G514" s="23">
        <v>55</v>
      </c>
      <c r="H514" s="24">
        <f t="shared" si="19"/>
        <v>2025.5</v>
      </c>
      <c r="I514" s="25"/>
      <c r="J514" s="15">
        <f t="shared" si="21"/>
        <v>0</v>
      </c>
      <c r="K514" s="2"/>
    </row>
    <row r="515" spans="1:11" x14ac:dyDescent="0.3">
      <c r="A515" s="21">
        <v>46107</v>
      </c>
      <c r="B515">
        <v>7890</v>
      </c>
      <c r="C515">
        <v>1</v>
      </c>
      <c r="D515" t="s">
        <v>15</v>
      </c>
      <c r="E515" t="s">
        <v>14</v>
      </c>
      <c r="F515">
        <v>99</v>
      </c>
      <c r="G515" s="23">
        <v>23</v>
      </c>
      <c r="H515" s="24">
        <f t="shared" si="19"/>
        <v>605.5</v>
      </c>
      <c r="I515" s="25"/>
      <c r="J515" s="15">
        <f t="shared" si="21"/>
        <v>0</v>
      </c>
      <c r="K515" s="2"/>
    </row>
    <row r="516" spans="1:11" x14ac:dyDescent="0.3">
      <c r="A516" s="21">
        <v>46107</v>
      </c>
      <c r="B516">
        <v>7891</v>
      </c>
      <c r="C516">
        <v>1</v>
      </c>
      <c r="D516" t="s">
        <v>27</v>
      </c>
      <c r="E516" t="s">
        <v>14</v>
      </c>
      <c r="F516">
        <v>33</v>
      </c>
      <c r="G516" s="23">
        <v>6</v>
      </c>
      <c r="H516" s="24">
        <f t="shared" si="19"/>
        <v>201</v>
      </c>
      <c r="I516" s="25"/>
      <c r="J516" s="15">
        <f t="shared" si="21"/>
        <v>0</v>
      </c>
      <c r="K516" s="2"/>
    </row>
    <row r="517" spans="1:11" x14ac:dyDescent="0.3">
      <c r="A517" s="21">
        <v>46107</v>
      </c>
      <c r="B517">
        <v>7892</v>
      </c>
      <c r="C517">
        <v>1</v>
      </c>
      <c r="D517" t="s">
        <v>48</v>
      </c>
      <c r="E517" t="s">
        <v>14</v>
      </c>
      <c r="F517">
        <v>33</v>
      </c>
      <c r="G517" s="23">
        <v>6</v>
      </c>
      <c r="H517" s="24">
        <f t="shared" si="19"/>
        <v>201</v>
      </c>
      <c r="I517" s="25"/>
      <c r="J517" s="15">
        <f t="shared" si="21"/>
        <v>0</v>
      </c>
      <c r="K517" s="2"/>
    </row>
    <row r="518" spans="1:11" x14ac:dyDescent="0.3">
      <c r="A518" s="21">
        <v>46107</v>
      </c>
      <c r="B518">
        <v>7893</v>
      </c>
      <c r="C518">
        <v>1</v>
      </c>
      <c r="D518" t="s">
        <v>22</v>
      </c>
      <c r="E518" t="s">
        <v>1</v>
      </c>
      <c r="F518">
        <v>236</v>
      </c>
      <c r="G518" s="23">
        <v>22</v>
      </c>
      <c r="H518" s="24">
        <f t="shared" si="19"/>
        <v>1427</v>
      </c>
      <c r="I518" s="25"/>
      <c r="J518" s="15">
        <f t="shared" si="21"/>
        <v>0</v>
      </c>
      <c r="K518" s="2"/>
    </row>
    <row r="519" spans="1:11" x14ac:dyDescent="0.3">
      <c r="A519" s="21">
        <v>46108</v>
      </c>
      <c r="B519">
        <v>7894</v>
      </c>
      <c r="C519">
        <v>1</v>
      </c>
      <c r="D519" t="s">
        <v>11</v>
      </c>
      <c r="E519" t="s">
        <v>12</v>
      </c>
      <c r="F519">
        <v>65</v>
      </c>
      <c r="G519" s="23">
        <v>4</v>
      </c>
      <c r="H519" s="24">
        <f>+F519*6+G519*1</f>
        <v>394</v>
      </c>
      <c r="I519" s="25"/>
      <c r="J519" s="15">
        <f t="shared" si="21"/>
        <v>0</v>
      </c>
      <c r="K519" s="2"/>
    </row>
    <row r="520" spans="1:11" x14ac:dyDescent="0.3">
      <c r="A520" s="21">
        <v>46108</v>
      </c>
      <c r="B520">
        <v>7895</v>
      </c>
      <c r="C520">
        <v>1</v>
      </c>
      <c r="D520" s="22" t="s">
        <v>18</v>
      </c>
      <c r="E520" t="s">
        <v>31</v>
      </c>
      <c r="F520">
        <v>93</v>
      </c>
      <c r="G520" s="23">
        <v>0</v>
      </c>
      <c r="H520" s="24">
        <f>+F520*10.5+G520*0.5</f>
        <v>976.5</v>
      </c>
      <c r="I520" s="25"/>
      <c r="J520" s="15">
        <f t="shared" si="21"/>
        <v>0</v>
      </c>
      <c r="K520" s="2"/>
    </row>
    <row r="521" spans="1:11" x14ac:dyDescent="0.3">
      <c r="A521" s="21">
        <v>46108</v>
      </c>
      <c r="B521">
        <v>7895</v>
      </c>
      <c r="C521">
        <v>2</v>
      </c>
      <c r="D521" s="22" t="s">
        <v>18</v>
      </c>
      <c r="E521" s="28" t="s">
        <v>20</v>
      </c>
      <c r="F521">
        <v>127</v>
      </c>
      <c r="G521" s="23">
        <v>23</v>
      </c>
      <c r="H521" s="24">
        <f>+F521*9+G521*1</f>
        <v>1166</v>
      </c>
      <c r="I521" s="25"/>
      <c r="J521" s="15">
        <f t="shared" si="21"/>
        <v>0</v>
      </c>
      <c r="K521" s="2"/>
    </row>
    <row r="522" spans="1:11" x14ac:dyDescent="0.3">
      <c r="A522" s="21">
        <v>46109</v>
      </c>
      <c r="B522">
        <v>7896</v>
      </c>
      <c r="C522">
        <v>1</v>
      </c>
      <c r="D522" s="22" t="s">
        <v>7</v>
      </c>
      <c r="E522" t="s">
        <v>8</v>
      </c>
      <c r="F522">
        <v>210</v>
      </c>
      <c r="G522" s="23">
        <v>0</v>
      </c>
      <c r="H522" s="24">
        <f>+F522*5+G522*0.5</f>
        <v>1050</v>
      </c>
      <c r="I522" s="25"/>
      <c r="J522" s="15">
        <f t="shared" si="21"/>
        <v>0</v>
      </c>
      <c r="K522" s="2"/>
    </row>
    <row r="523" spans="1:11" x14ac:dyDescent="0.3">
      <c r="A523" s="21">
        <v>46109</v>
      </c>
      <c r="B523">
        <v>7896</v>
      </c>
      <c r="C523">
        <v>2</v>
      </c>
      <c r="D523" s="22" t="s">
        <v>7</v>
      </c>
      <c r="E523" t="s">
        <v>4</v>
      </c>
      <c r="F523">
        <v>214</v>
      </c>
      <c r="G523" s="23">
        <v>0</v>
      </c>
      <c r="H523" s="24">
        <f>+F523*5+G523*0.5</f>
        <v>1070</v>
      </c>
      <c r="I523" s="25"/>
      <c r="J523" s="15">
        <f t="shared" si="21"/>
        <v>0</v>
      </c>
      <c r="K523" s="2"/>
    </row>
    <row r="524" spans="1:11" x14ac:dyDescent="0.3">
      <c r="A524" s="21">
        <v>46109</v>
      </c>
      <c r="B524">
        <v>7897</v>
      </c>
      <c r="C524">
        <v>1</v>
      </c>
      <c r="D524" s="22" t="s">
        <v>7</v>
      </c>
      <c r="E524" t="s">
        <v>4</v>
      </c>
      <c r="F524">
        <v>207</v>
      </c>
      <c r="G524" s="23">
        <v>0</v>
      </c>
      <c r="H524" s="24">
        <f>+F524*5+G524*0.5</f>
        <v>1035</v>
      </c>
      <c r="I524" s="25"/>
      <c r="J524" s="15">
        <f t="shared" si="21"/>
        <v>0</v>
      </c>
      <c r="K524" s="2"/>
    </row>
    <row r="525" spans="1:11" x14ac:dyDescent="0.3">
      <c r="A525" s="21">
        <v>46109</v>
      </c>
      <c r="B525">
        <v>7898</v>
      </c>
      <c r="C525">
        <v>1</v>
      </c>
      <c r="D525" s="22" t="s">
        <v>7</v>
      </c>
      <c r="E525" t="s">
        <v>9</v>
      </c>
      <c r="F525">
        <v>86</v>
      </c>
      <c r="G525" s="23">
        <v>0</v>
      </c>
      <c r="H525" s="24">
        <f>+F525*7+G525*0.5</f>
        <v>602</v>
      </c>
      <c r="I525" s="25"/>
      <c r="J525" s="15">
        <f t="shared" si="21"/>
        <v>0</v>
      </c>
      <c r="K525" s="2"/>
    </row>
    <row r="526" spans="1:11" x14ac:dyDescent="0.3">
      <c r="A526" s="21">
        <v>46109</v>
      </c>
      <c r="B526">
        <v>7898</v>
      </c>
      <c r="C526">
        <v>2</v>
      </c>
      <c r="D526" s="22" t="s">
        <v>7</v>
      </c>
      <c r="E526" t="s">
        <v>3</v>
      </c>
      <c r="F526">
        <v>78</v>
      </c>
      <c r="G526" s="23">
        <v>0</v>
      </c>
      <c r="H526" s="24">
        <f t="shared" ref="H526:H527" si="22">+F526*5+G526*0.5</f>
        <v>390</v>
      </c>
      <c r="I526" s="25"/>
      <c r="J526" s="15">
        <f t="shared" si="21"/>
        <v>0</v>
      </c>
      <c r="K526" s="2"/>
    </row>
    <row r="527" spans="1:11" x14ac:dyDescent="0.3">
      <c r="A527" s="21">
        <v>46109</v>
      </c>
      <c r="B527">
        <v>7898</v>
      </c>
      <c r="C527">
        <v>3</v>
      </c>
      <c r="D527" s="22" t="s">
        <v>7</v>
      </c>
      <c r="E527" t="s">
        <v>4</v>
      </c>
      <c r="F527">
        <v>251</v>
      </c>
      <c r="G527" s="23">
        <v>0</v>
      </c>
      <c r="H527" s="24">
        <f t="shared" si="22"/>
        <v>1255</v>
      </c>
      <c r="I527" s="25"/>
      <c r="J527" s="15">
        <f t="shared" si="21"/>
        <v>0</v>
      </c>
      <c r="K527" s="2"/>
    </row>
    <row r="528" spans="1:11" x14ac:dyDescent="0.3">
      <c r="A528" s="21">
        <v>46111</v>
      </c>
      <c r="B528">
        <v>7899</v>
      </c>
      <c r="C528">
        <v>1</v>
      </c>
      <c r="D528" t="s">
        <v>0</v>
      </c>
      <c r="E528" t="s">
        <v>14</v>
      </c>
      <c r="F528">
        <v>33</v>
      </c>
      <c r="G528" s="23">
        <v>8</v>
      </c>
      <c r="H528" s="24">
        <f t="shared" ref="H528:H590" si="23">+F528*6+G528*0.5</f>
        <v>202</v>
      </c>
      <c r="I528" s="25"/>
      <c r="J528" s="15">
        <f t="shared" si="21"/>
        <v>0</v>
      </c>
      <c r="K528" s="2"/>
    </row>
    <row r="529" spans="1:15" x14ac:dyDescent="0.3">
      <c r="A529" s="21">
        <v>46111</v>
      </c>
      <c r="B529">
        <v>7900</v>
      </c>
      <c r="C529">
        <v>1</v>
      </c>
      <c r="D529" t="s">
        <v>23</v>
      </c>
      <c r="E529" t="s">
        <v>14</v>
      </c>
      <c r="F529">
        <v>99</v>
      </c>
      <c r="G529" s="23">
        <v>21</v>
      </c>
      <c r="H529" s="24">
        <f t="shared" si="23"/>
        <v>604.5</v>
      </c>
      <c r="I529" s="25"/>
      <c r="J529" s="15">
        <f t="shared" si="21"/>
        <v>0</v>
      </c>
      <c r="K529" s="2"/>
    </row>
    <row r="530" spans="1:15" x14ac:dyDescent="0.3">
      <c r="A530" s="21">
        <v>46111</v>
      </c>
      <c r="B530">
        <v>7901</v>
      </c>
      <c r="C530">
        <v>1</v>
      </c>
      <c r="D530" t="s">
        <v>17</v>
      </c>
      <c r="E530" t="s">
        <v>14</v>
      </c>
      <c r="F530">
        <v>99</v>
      </c>
      <c r="G530" s="23">
        <v>17</v>
      </c>
      <c r="H530" s="24">
        <f t="shared" si="23"/>
        <v>602.5</v>
      </c>
      <c r="I530" s="25"/>
      <c r="J530" s="15">
        <f t="shared" si="21"/>
        <v>0</v>
      </c>
      <c r="K530" s="2"/>
    </row>
    <row r="531" spans="1:15" x14ac:dyDescent="0.3">
      <c r="A531" s="21">
        <v>46111</v>
      </c>
      <c r="B531">
        <v>7902</v>
      </c>
      <c r="C531">
        <v>1</v>
      </c>
      <c r="D531" t="s">
        <v>35</v>
      </c>
      <c r="E531" s="28" t="s">
        <v>20</v>
      </c>
      <c r="F531">
        <v>66</v>
      </c>
      <c r="G531" s="23">
        <v>2</v>
      </c>
      <c r="H531" s="24">
        <f>+F531*6+G531*1</f>
        <v>398</v>
      </c>
      <c r="I531" s="25"/>
      <c r="J531" s="15">
        <f t="shared" si="21"/>
        <v>0</v>
      </c>
      <c r="K531" s="2"/>
    </row>
    <row r="532" spans="1:15" x14ac:dyDescent="0.3">
      <c r="A532" s="21">
        <v>46111</v>
      </c>
      <c r="B532">
        <v>7903</v>
      </c>
      <c r="C532">
        <v>1</v>
      </c>
      <c r="D532" t="s">
        <v>55</v>
      </c>
      <c r="E532" t="s">
        <v>1</v>
      </c>
      <c r="F532">
        <v>33</v>
      </c>
      <c r="G532" s="23">
        <v>7</v>
      </c>
      <c r="H532" s="24">
        <f t="shared" si="23"/>
        <v>201.5</v>
      </c>
      <c r="I532" s="25"/>
      <c r="J532" s="15">
        <f t="shared" si="21"/>
        <v>0</v>
      </c>
      <c r="K532" s="2"/>
    </row>
    <row r="533" spans="1:15" x14ac:dyDescent="0.3">
      <c r="A533" s="21">
        <v>46111</v>
      </c>
      <c r="B533">
        <v>7904</v>
      </c>
      <c r="C533">
        <v>1</v>
      </c>
      <c r="D533" t="s">
        <v>22</v>
      </c>
      <c r="E533" t="s">
        <v>1</v>
      </c>
      <c r="F533">
        <v>200</v>
      </c>
      <c r="G533" s="23">
        <v>42</v>
      </c>
      <c r="H533" s="24">
        <f t="shared" si="23"/>
        <v>1221</v>
      </c>
      <c r="I533" s="25"/>
      <c r="J533" s="15">
        <f t="shared" si="21"/>
        <v>0</v>
      </c>
      <c r="K533" s="2"/>
    </row>
    <row r="534" spans="1:15" ht="15" thickBot="1" x14ac:dyDescent="0.35">
      <c r="A534" s="82">
        <v>46111</v>
      </c>
      <c r="B534" s="3">
        <v>7905</v>
      </c>
      <c r="C534" s="3">
        <v>1</v>
      </c>
      <c r="D534" s="3" t="s">
        <v>36</v>
      </c>
      <c r="E534" s="3" t="s">
        <v>14</v>
      </c>
      <c r="F534" s="3">
        <v>99</v>
      </c>
      <c r="G534" s="85">
        <v>23</v>
      </c>
      <c r="H534" s="86">
        <f t="shared" si="23"/>
        <v>605.5</v>
      </c>
      <c r="I534" s="87"/>
      <c r="J534" s="88">
        <f t="shared" si="21"/>
        <v>0</v>
      </c>
      <c r="K534" s="89"/>
      <c r="L534" s="3"/>
      <c r="M534" s="3"/>
      <c r="N534" s="3"/>
      <c r="O534" s="3"/>
    </row>
    <row r="535" spans="1:15" x14ac:dyDescent="0.3">
      <c r="A535" s="21">
        <v>46115</v>
      </c>
      <c r="B535">
        <v>7906</v>
      </c>
      <c r="C535">
        <v>1</v>
      </c>
      <c r="D535" t="s">
        <v>0</v>
      </c>
      <c r="E535" t="s">
        <v>14</v>
      </c>
      <c r="F535">
        <v>429</v>
      </c>
      <c r="G535" s="23">
        <v>92</v>
      </c>
      <c r="H535" s="24">
        <f t="shared" si="23"/>
        <v>2620</v>
      </c>
      <c r="I535" s="25"/>
      <c r="J535" s="15">
        <f t="shared" si="21"/>
        <v>0</v>
      </c>
      <c r="K535" s="2"/>
    </row>
    <row r="536" spans="1:15" x14ac:dyDescent="0.3">
      <c r="A536" s="21">
        <v>46115</v>
      </c>
      <c r="B536">
        <v>7907</v>
      </c>
      <c r="C536">
        <v>1</v>
      </c>
      <c r="D536" t="s">
        <v>55</v>
      </c>
      <c r="E536" t="s">
        <v>1</v>
      </c>
      <c r="F536">
        <v>68</v>
      </c>
      <c r="G536" s="23">
        <v>17</v>
      </c>
      <c r="H536" s="24">
        <f t="shared" si="23"/>
        <v>416.5</v>
      </c>
      <c r="I536" s="25"/>
      <c r="J536" s="15">
        <f t="shared" si="21"/>
        <v>0</v>
      </c>
      <c r="K536" s="2"/>
    </row>
    <row r="537" spans="1:15" x14ac:dyDescent="0.3">
      <c r="A537" s="21">
        <v>46115</v>
      </c>
      <c r="B537">
        <v>7908</v>
      </c>
      <c r="C537">
        <v>1</v>
      </c>
      <c r="D537" t="s">
        <v>22</v>
      </c>
      <c r="E537" t="s">
        <v>1</v>
      </c>
      <c r="F537">
        <v>33</v>
      </c>
      <c r="G537" s="23">
        <v>11</v>
      </c>
      <c r="H537" s="24">
        <f t="shared" si="23"/>
        <v>203.5</v>
      </c>
      <c r="I537" s="25"/>
      <c r="J537" s="15">
        <f t="shared" si="21"/>
        <v>0</v>
      </c>
      <c r="K537" s="2"/>
    </row>
    <row r="538" spans="1:15" x14ac:dyDescent="0.3">
      <c r="A538" s="21">
        <v>46115</v>
      </c>
      <c r="B538">
        <v>7909</v>
      </c>
      <c r="C538">
        <v>1</v>
      </c>
      <c r="D538" t="s">
        <v>36</v>
      </c>
      <c r="E538" t="s">
        <v>14</v>
      </c>
      <c r="F538">
        <v>66</v>
      </c>
      <c r="G538" s="23">
        <v>21</v>
      </c>
      <c r="H538" s="24">
        <f t="shared" si="23"/>
        <v>406.5</v>
      </c>
      <c r="I538" s="25"/>
      <c r="J538" s="15">
        <f t="shared" si="21"/>
        <v>0</v>
      </c>
      <c r="K538" s="2"/>
    </row>
    <row r="539" spans="1:15" x14ac:dyDescent="0.3">
      <c r="A539" s="21">
        <v>46115</v>
      </c>
      <c r="B539">
        <v>7910</v>
      </c>
      <c r="C539">
        <v>1</v>
      </c>
      <c r="D539" t="s">
        <v>27</v>
      </c>
      <c r="E539" t="s">
        <v>14</v>
      </c>
      <c r="F539">
        <v>33</v>
      </c>
      <c r="G539" s="23">
        <v>5</v>
      </c>
      <c r="H539" s="24">
        <f t="shared" si="23"/>
        <v>200.5</v>
      </c>
      <c r="I539" s="25"/>
      <c r="J539" s="15">
        <f t="shared" si="21"/>
        <v>0</v>
      </c>
      <c r="K539" s="2"/>
    </row>
    <row r="540" spans="1:15" x14ac:dyDescent="0.3">
      <c r="A540" s="21">
        <v>46115</v>
      </c>
      <c r="B540">
        <v>7911</v>
      </c>
      <c r="C540">
        <v>1</v>
      </c>
      <c r="D540" t="s">
        <v>0</v>
      </c>
      <c r="E540" t="s">
        <v>1</v>
      </c>
      <c r="F540">
        <v>16</v>
      </c>
      <c r="G540" s="23">
        <v>10</v>
      </c>
      <c r="H540" s="24">
        <f t="shared" si="23"/>
        <v>101</v>
      </c>
      <c r="I540" s="25"/>
      <c r="J540" s="15">
        <f t="shared" si="21"/>
        <v>0</v>
      </c>
      <c r="K540" s="2"/>
    </row>
    <row r="541" spans="1:15" x14ac:dyDescent="0.3">
      <c r="A541" s="21">
        <v>46115</v>
      </c>
      <c r="B541">
        <v>7912</v>
      </c>
      <c r="C541">
        <v>1</v>
      </c>
      <c r="D541" t="s">
        <v>15</v>
      </c>
      <c r="E541" t="s">
        <v>14</v>
      </c>
      <c r="F541">
        <v>66</v>
      </c>
      <c r="G541" s="23">
        <v>19</v>
      </c>
      <c r="H541" s="24">
        <f t="shared" si="23"/>
        <v>405.5</v>
      </c>
      <c r="I541" s="25"/>
      <c r="J541" s="15">
        <f t="shared" si="21"/>
        <v>0</v>
      </c>
      <c r="K541" s="2"/>
    </row>
    <row r="542" spans="1:15" x14ac:dyDescent="0.3">
      <c r="A542" s="21">
        <v>46115</v>
      </c>
      <c r="B542">
        <v>7913</v>
      </c>
      <c r="C542">
        <v>1</v>
      </c>
      <c r="D542" t="s">
        <v>16</v>
      </c>
      <c r="E542" t="s">
        <v>14</v>
      </c>
      <c r="F542">
        <v>67</v>
      </c>
      <c r="G542" s="23">
        <v>10</v>
      </c>
      <c r="H542" s="24">
        <f t="shared" si="23"/>
        <v>407</v>
      </c>
      <c r="I542" s="25"/>
      <c r="J542" s="15">
        <f t="shared" si="21"/>
        <v>0</v>
      </c>
      <c r="K542" s="2"/>
    </row>
    <row r="543" spans="1:15" x14ac:dyDescent="0.3">
      <c r="A543" s="21">
        <v>46115</v>
      </c>
      <c r="B543">
        <v>7914</v>
      </c>
      <c r="C543">
        <v>1</v>
      </c>
      <c r="D543" t="s">
        <v>17</v>
      </c>
      <c r="E543" t="s">
        <v>14</v>
      </c>
      <c r="F543">
        <v>33</v>
      </c>
      <c r="G543" s="23">
        <v>7</v>
      </c>
      <c r="H543" s="24">
        <f t="shared" si="23"/>
        <v>201.5</v>
      </c>
      <c r="I543" s="25"/>
      <c r="J543" s="15">
        <f t="shared" si="21"/>
        <v>0</v>
      </c>
      <c r="K543" s="2"/>
    </row>
    <row r="544" spans="1:15" x14ac:dyDescent="0.3">
      <c r="A544" s="21">
        <v>46115</v>
      </c>
      <c r="B544">
        <v>7915</v>
      </c>
      <c r="C544">
        <v>1</v>
      </c>
      <c r="D544" t="s">
        <v>0</v>
      </c>
      <c r="E544" t="s">
        <v>14</v>
      </c>
      <c r="F544">
        <v>33</v>
      </c>
      <c r="G544" s="23">
        <v>10</v>
      </c>
      <c r="H544" s="24">
        <f t="shared" si="23"/>
        <v>203</v>
      </c>
      <c r="I544" s="25"/>
      <c r="J544" s="15">
        <f t="shared" si="21"/>
        <v>0</v>
      </c>
      <c r="K544" s="2"/>
    </row>
    <row r="545" spans="1:15" x14ac:dyDescent="0.3">
      <c r="A545" s="21">
        <v>46115</v>
      </c>
      <c r="B545">
        <v>7916</v>
      </c>
      <c r="C545">
        <v>1</v>
      </c>
      <c r="D545" s="22" t="s">
        <v>7</v>
      </c>
      <c r="E545" t="s">
        <v>19</v>
      </c>
      <c r="F545">
        <v>157</v>
      </c>
      <c r="G545" s="23">
        <v>0</v>
      </c>
      <c r="H545" s="24">
        <f>+F545*5+G545*0.5</f>
        <v>785</v>
      </c>
      <c r="I545" s="25"/>
      <c r="J545" s="15">
        <f t="shared" si="21"/>
        <v>0</v>
      </c>
      <c r="K545" s="2"/>
    </row>
    <row r="546" spans="1:15" x14ac:dyDescent="0.3">
      <c r="A546" s="21">
        <v>46115</v>
      </c>
      <c r="B546">
        <v>7917</v>
      </c>
      <c r="C546">
        <v>1</v>
      </c>
      <c r="D546" s="22" t="s">
        <v>18</v>
      </c>
      <c r="E546" s="28" t="s">
        <v>20</v>
      </c>
      <c r="F546">
        <v>256</v>
      </c>
      <c r="G546" s="23">
        <v>28</v>
      </c>
      <c r="H546" s="24">
        <f>+F546*9+G546*1</f>
        <v>2332</v>
      </c>
      <c r="I546" s="25"/>
      <c r="J546" s="15">
        <f t="shared" si="21"/>
        <v>0</v>
      </c>
      <c r="K546" s="2"/>
    </row>
    <row r="547" spans="1:15" x14ac:dyDescent="0.3">
      <c r="A547" s="4">
        <v>46115</v>
      </c>
      <c r="B547" s="1">
        <v>7917</v>
      </c>
      <c r="C547" s="1">
        <v>2</v>
      </c>
      <c r="D547" s="26" t="s">
        <v>18</v>
      </c>
      <c r="E547" s="1" t="s">
        <v>31</v>
      </c>
      <c r="F547" s="1">
        <v>19</v>
      </c>
      <c r="G547" s="5">
        <v>0</v>
      </c>
      <c r="H547" s="6">
        <f>+F547*10.5+G547*0.5</f>
        <v>199.5</v>
      </c>
      <c r="I547" s="7"/>
      <c r="J547" s="8">
        <f t="shared" si="21"/>
        <v>0</v>
      </c>
      <c r="K547" s="9"/>
      <c r="L547" s="1"/>
      <c r="M547" s="1"/>
      <c r="N547" s="1"/>
      <c r="O547" s="1"/>
    </row>
    <row r="548" spans="1:15" x14ac:dyDescent="0.3">
      <c r="A548" s="21">
        <v>46116</v>
      </c>
      <c r="B548">
        <v>7918</v>
      </c>
      <c r="C548">
        <v>1</v>
      </c>
      <c r="D548" s="22" t="s">
        <v>7</v>
      </c>
      <c r="E548" t="s">
        <v>4</v>
      </c>
      <c r="F548">
        <v>115</v>
      </c>
      <c r="G548" s="23">
        <v>0</v>
      </c>
      <c r="H548" s="24">
        <f>+F548*5+G548*0.5</f>
        <v>575</v>
      </c>
      <c r="I548" s="25"/>
      <c r="J548" s="15">
        <f t="shared" si="21"/>
        <v>0</v>
      </c>
      <c r="K548" s="2"/>
    </row>
    <row r="549" spans="1:15" x14ac:dyDescent="0.3">
      <c r="A549" s="21">
        <v>46116</v>
      </c>
      <c r="B549">
        <v>7918</v>
      </c>
      <c r="C549">
        <v>2</v>
      </c>
      <c r="D549" s="22" t="s">
        <v>7</v>
      </c>
      <c r="E549" t="s">
        <v>8</v>
      </c>
      <c r="F549">
        <v>82</v>
      </c>
      <c r="G549" s="23">
        <v>0</v>
      </c>
      <c r="H549" s="24">
        <f t="shared" ref="H549:H550" si="24">+F549*5+G549*0.5</f>
        <v>410</v>
      </c>
      <c r="I549" s="25"/>
      <c r="J549" s="15">
        <f t="shared" si="21"/>
        <v>0</v>
      </c>
      <c r="K549" s="2"/>
    </row>
    <row r="550" spans="1:15" x14ac:dyDescent="0.3">
      <c r="A550" s="21">
        <v>46116</v>
      </c>
      <c r="B550">
        <v>7918</v>
      </c>
      <c r="C550">
        <v>3</v>
      </c>
      <c r="D550" s="22" t="s">
        <v>7</v>
      </c>
      <c r="E550" t="s">
        <v>3</v>
      </c>
      <c r="F550">
        <v>116</v>
      </c>
      <c r="G550" s="23">
        <v>0</v>
      </c>
      <c r="H550" s="24">
        <f t="shared" si="24"/>
        <v>580</v>
      </c>
      <c r="I550" s="25"/>
      <c r="J550" s="15">
        <f t="shared" si="21"/>
        <v>0</v>
      </c>
      <c r="K550" s="2"/>
    </row>
    <row r="551" spans="1:15" x14ac:dyDescent="0.3">
      <c r="A551" s="21">
        <v>46116</v>
      </c>
      <c r="B551">
        <v>7919</v>
      </c>
      <c r="C551">
        <v>1</v>
      </c>
      <c r="D551" s="22" t="s">
        <v>18</v>
      </c>
      <c r="E551" s="28" t="s">
        <v>20</v>
      </c>
      <c r="F551">
        <f>33+33+32</f>
        <v>98</v>
      </c>
      <c r="G551" s="23">
        <v>6</v>
      </c>
      <c r="H551" s="24">
        <f>+F551*6+G551*1</f>
        <v>594</v>
      </c>
      <c r="I551" s="25"/>
      <c r="J551" s="15">
        <f t="shared" si="21"/>
        <v>0</v>
      </c>
      <c r="K551" s="2"/>
    </row>
    <row r="552" spans="1:15" x14ac:dyDescent="0.3">
      <c r="A552" s="21">
        <v>46116</v>
      </c>
      <c r="B552">
        <v>7920</v>
      </c>
      <c r="C552">
        <v>1</v>
      </c>
      <c r="D552" s="22" t="s">
        <v>7</v>
      </c>
      <c r="E552" t="s">
        <v>4</v>
      </c>
      <c r="F552">
        <v>125</v>
      </c>
      <c r="G552" s="23">
        <v>0</v>
      </c>
      <c r="H552" s="24">
        <f>+F552*5+G552*0.5</f>
        <v>625</v>
      </c>
      <c r="I552" s="25"/>
      <c r="J552" s="15">
        <f t="shared" si="21"/>
        <v>0</v>
      </c>
      <c r="K552" s="2"/>
    </row>
    <row r="553" spans="1:15" x14ac:dyDescent="0.3">
      <c r="A553" s="21">
        <v>46116</v>
      </c>
      <c r="B553">
        <v>7920</v>
      </c>
      <c r="C553">
        <v>2</v>
      </c>
      <c r="D553" s="22" t="s">
        <v>7</v>
      </c>
      <c r="E553" t="s">
        <v>8</v>
      </c>
      <c r="F553">
        <v>143</v>
      </c>
      <c r="G553" s="23">
        <v>0</v>
      </c>
      <c r="H553" s="24">
        <f t="shared" ref="H553:H555" si="25">+F553*5+G553*0.5</f>
        <v>715</v>
      </c>
      <c r="I553" s="25"/>
      <c r="J553" s="15">
        <f t="shared" si="21"/>
        <v>0</v>
      </c>
      <c r="K553" s="2"/>
    </row>
    <row r="554" spans="1:15" x14ac:dyDescent="0.3">
      <c r="A554" s="21">
        <v>46116</v>
      </c>
      <c r="B554">
        <v>7920</v>
      </c>
      <c r="C554">
        <v>3</v>
      </c>
      <c r="D554" s="22" t="s">
        <v>7</v>
      </c>
      <c r="E554" t="s">
        <v>3</v>
      </c>
      <c r="F554">
        <v>77</v>
      </c>
      <c r="G554" s="23">
        <v>0</v>
      </c>
      <c r="H554" s="24">
        <f t="shared" si="25"/>
        <v>385</v>
      </c>
      <c r="I554" s="25"/>
      <c r="J554" s="15">
        <f t="shared" si="21"/>
        <v>0</v>
      </c>
      <c r="K554" s="2"/>
    </row>
    <row r="555" spans="1:15" x14ac:dyDescent="0.3">
      <c r="A555" s="21">
        <v>46116</v>
      </c>
      <c r="B555">
        <v>7920</v>
      </c>
      <c r="C555">
        <v>4</v>
      </c>
      <c r="D555" s="22" t="s">
        <v>7</v>
      </c>
      <c r="E555" t="s">
        <v>24</v>
      </c>
      <c r="F555">
        <v>12</v>
      </c>
      <c r="G555" s="23">
        <v>0</v>
      </c>
      <c r="H555" s="24">
        <f t="shared" si="25"/>
        <v>60</v>
      </c>
      <c r="I555" s="25"/>
      <c r="J555" s="15">
        <f t="shared" si="21"/>
        <v>0</v>
      </c>
      <c r="K555" s="2"/>
    </row>
    <row r="556" spans="1:15" x14ac:dyDescent="0.3">
      <c r="A556" s="21">
        <v>46116</v>
      </c>
      <c r="B556">
        <v>7921</v>
      </c>
      <c r="C556">
        <v>1</v>
      </c>
      <c r="D556" s="22" t="s">
        <v>18</v>
      </c>
      <c r="E556" t="s">
        <v>19</v>
      </c>
      <c r="F556">
        <v>42</v>
      </c>
      <c r="G556" s="23">
        <v>0</v>
      </c>
      <c r="H556" s="24">
        <f t="shared" si="23"/>
        <v>252</v>
      </c>
      <c r="I556" s="25"/>
      <c r="J556" s="15">
        <f t="shared" si="21"/>
        <v>0</v>
      </c>
      <c r="K556" s="2"/>
    </row>
    <row r="557" spans="1:15" x14ac:dyDescent="0.3">
      <c r="A557" s="21">
        <v>46116</v>
      </c>
      <c r="B557">
        <v>7922</v>
      </c>
      <c r="C557">
        <v>1</v>
      </c>
      <c r="D557" s="22" t="s">
        <v>7</v>
      </c>
      <c r="E557" t="s">
        <v>4</v>
      </c>
      <c r="F557">
        <v>42</v>
      </c>
      <c r="G557" s="23">
        <v>0</v>
      </c>
      <c r="H557" s="24">
        <f>+F557*5+G557*0.5</f>
        <v>210</v>
      </c>
      <c r="I557" s="25"/>
      <c r="J557" s="15">
        <f t="shared" si="21"/>
        <v>0</v>
      </c>
      <c r="K557" s="2"/>
    </row>
    <row r="558" spans="1:15" x14ac:dyDescent="0.3">
      <c r="A558" s="4">
        <v>46116</v>
      </c>
      <c r="B558" s="1">
        <v>7922</v>
      </c>
      <c r="C558" s="1">
        <v>2</v>
      </c>
      <c r="D558" s="26" t="s">
        <v>7</v>
      </c>
      <c r="E558" s="1" t="s">
        <v>3</v>
      </c>
      <c r="F558" s="1">
        <v>38</v>
      </c>
      <c r="G558" s="5">
        <v>0</v>
      </c>
      <c r="H558" s="6">
        <f>+F558*5+G558*0.5</f>
        <v>190</v>
      </c>
      <c r="I558" s="7"/>
      <c r="J558" s="8">
        <f t="shared" si="21"/>
        <v>0</v>
      </c>
      <c r="K558" s="9"/>
      <c r="L558" s="1"/>
      <c r="M558" s="1"/>
      <c r="N558" s="1"/>
      <c r="O558" s="1"/>
    </row>
    <row r="559" spans="1:15" x14ac:dyDescent="0.3">
      <c r="A559" s="21">
        <v>46117</v>
      </c>
      <c r="B559">
        <v>7923</v>
      </c>
      <c r="C559">
        <v>1</v>
      </c>
      <c r="D559" t="s">
        <v>16</v>
      </c>
      <c r="E559" t="s">
        <v>14</v>
      </c>
      <c r="F559">
        <f>33+33+33+33+33+33+33+33</f>
        <v>264</v>
      </c>
      <c r="G559" s="23">
        <f>9+7+6+10+9+3+10+10</f>
        <v>64</v>
      </c>
      <c r="H559" s="24">
        <f t="shared" si="23"/>
        <v>1616</v>
      </c>
      <c r="I559" s="25"/>
      <c r="J559" s="15">
        <f t="shared" si="21"/>
        <v>0</v>
      </c>
      <c r="K559" s="2"/>
    </row>
    <row r="560" spans="1:15" x14ac:dyDescent="0.3">
      <c r="A560" s="4">
        <v>46117</v>
      </c>
      <c r="B560" s="1">
        <v>7924</v>
      </c>
      <c r="C560" s="1">
        <v>1</v>
      </c>
      <c r="D560" s="26" t="s">
        <v>18</v>
      </c>
      <c r="E560" s="55" t="s">
        <v>20</v>
      </c>
      <c r="F560" s="1">
        <v>66</v>
      </c>
      <c r="G560" s="5">
        <v>2</v>
      </c>
      <c r="H560" s="6">
        <f>+F560*9+G560*1</f>
        <v>596</v>
      </c>
      <c r="I560" s="7"/>
      <c r="J560" s="8">
        <f t="shared" si="21"/>
        <v>0</v>
      </c>
      <c r="K560" s="9"/>
      <c r="L560" s="1"/>
      <c r="M560" s="1"/>
      <c r="N560" s="1"/>
      <c r="O560" s="1"/>
    </row>
    <row r="561" spans="1:15" x14ac:dyDescent="0.3">
      <c r="A561" s="21">
        <v>46118</v>
      </c>
      <c r="B561">
        <v>7925</v>
      </c>
      <c r="C561">
        <v>1</v>
      </c>
      <c r="D561" t="s">
        <v>16</v>
      </c>
      <c r="E561" t="s">
        <v>14</v>
      </c>
      <c r="F561">
        <f>33+33+35+33+34+33+33+33+33+33</f>
        <v>333</v>
      </c>
      <c r="G561" s="23">
        <f>10+6+6+7+9+9+10+7+11</f>
        <v>75</v>
      </c>
      <c r="H561" s="24">
        <f t="shared" si="23"/>
        <v>2035.5</v>
      </c>
      <c r="I561" s="25"/>
      <c r="J561" s="15">
        <f t="shared" si="21"/>
        <v>0</v>
      </c>
      <c r="K561" s="2"/>
    </row>
    <row r="562" spans="1:15" x14ac:dyDescent="0.3">
      <c r="A562" s="21">
        <v>46118</v>
      </c>
      <c r="B562">
        <v>7926</v>
      </c>
      <c r="C562">
        <v>1</v>
      </c>
      <c r="D562" t="s">
        <v>26</v>
      </c>
      <c r="E562" t="s">
        <v>14</v>
      </c>
      <c r="F562">
        <v>33</v>
      </c>
      <c r="G562" s="23">
        <v>5</v>
      </c>
      <c r="H562" s="24">
        <f t="shared" si="23"/>
        <v>200.5</v>
      </c>
      <c r="I562" s="25"/>
      <c r="J562" s="15">
        <f t="shared" si="21"/>
        <v>0</v>
      </c>
      <c r="K562" s="2"/>
    </row>
    <row r="563" spans="1:15" x14ac:dyDescent="0.3">
      <c r="A563" s="21">
        <v>46118</v>
      </c>
      <c r="B563">
        <v>7927</v>
      </c>
      <c r="C563">
        <v>1</v>
      </c>
      <c r="D563" t="s">
        <v>55</v>
      </c>
      <c r="E563" t="s">
        <v>1</v>
      </c>
      <c r="F563">
        <f>35+34+35+36+34</f>
        <v>174</v>
      </c>
      <c r="G563" s="23">
        <f>9+9</f>
        <v>18</v>
      </c>
      <c r="H563" s="24">
        <f t="shared" si="23"/>
        <v>1053</v>
      </c>
      <c r="I563" s="25"/>
      <c r="J563" s="15">
        <f t="shared" si="21"/>
        <v>0</v>
      </c>
      <c r="K563" s="2"/>
    </row>
    <row r="564" spans="1:15" x14ac:dyDescent="0.3">
      <c r="A564" s="21">
        <v>46118</v>
      </c>
      <c r="B564">
        <v>7928</v>
      </c>
      <c r="C564">
        <v>1</v>
      </c>
      <c r="D564" t="s">
        <v>55</v>
      </c>
      <c r="E564" t="s">
        <v>14</v>
      </c>
      <c r="F564">
        <f>33+33+33</f>
        <v>99</v>
      </c>
      <c r="G564" s="23">
        <f>5+6+11</f>
        <v>22</v>
      </c>
      <c r="H564" s="24">
        <f t="shared" si="23"/>
        <v>605</v>
      </c>
      <c r="I564" s="25"/>
      <c r="J564" s="15">
        <f t="shared" si="21"/>
        <v>0</v>
      </c>
      <c r="K564" s="2"/>
    </row>
    <row r="565" spans="1:15" x14ac:dyDescent="0.3">
      <c r="A565" s="21">
        <v>46118</v>
      </c>
      <c r="B565">
        <v>7929</v>
      </c>
      <c r="C565">
        <v>1</v>
      </c>
      <c r="D565" t="s">
        <v>35</v>
      </c>
      <c r="E565" s="28" t="s">
        <v>20</v>
      </c>
      <c r="F565">
        <f>19+22+20+21</f>
        <v>82</v>
      </c>
      <c r="G565" s="23">
        <v>1</v>
      </c>
      <c r="H565" s="24">
        <f>+F565*9+G565*1</f>
        <v>739</v>
      </c>
      <c r="I565" s="25"/>
      <c r="J565" s="15">
        <f t="shared" si="21"/>
        <v>0</v>
      </c>
      <c r="K565" s="2"/>
    </row>
    <row r="566" spans="1:15" x14ac:dyDescent="0.3">
      <c r="A566" s="21">
        <v>46118</v>
      </c>
      <c r="B566">
        <v>7930</v>
      </c>
      <c r="C566">
        <v>1</v>
      </c>
      <c r="D566" s="22" t="s">
        <v>7</v>
      </c>
      <c r="E566" t="s">
        <v>8</v>
      </c>
      <c r="F566">
        <v>81</v>
      </c>
      <c r="G566" s="23">
        <v>0</v>
      </c>
      <c r="H566" s="24">
        <f>+F566*5+G566*0.5</f>
        <v>405</v>
      </c>
      <c r="I566" s="25"/>
      <c r="J566" s="15">
        <f t="shared" si="21"/>
        <v>0</v>
      </c>
      <c r="K566" s="2"/>
    </row>
    <row r="567" spans="1:15" x14ac:dyDescent="0.3">
      <c r="A567" s="4">
        <v>46118</v>
      </c>
      <c r="B567" s="1">
        <v>7930</v>
      </c>
      <c r="C567" s="1">
        <v>2</v>
      </c>
      <c r="D567" s="26" t="s">
        <v>7</v>
      </c>
      <c r="E567" s="1" t="s">
        <v>3</v>
      </c>
      <c r="F567" s="1">
        <v>37</v>
      </c>
      <c r="G567" s="5">
        <v>0</v>
      </c>
      <c r="H567" s="6">
        <f t="shared" ref="H567:H568" si="26">+F567*5+G567*0.5</f>
        <v>185</v>
      </c>
      <c r="I567" s="7"/>
      <c r="J567" s="8">
        <f t="shared" si="21"/>
        <v>0</v>
      </c>
      <c r="K567" s="9"/>
      <c r="L567" s="1"/>
      <c r="M567" s="1"/>
      <c r="N567" s="1"/>
      <c r="O567" s="1"/>
    </row>
    <row r="568" spans="1:15" x14ac:dyDescent="0.3">
      <c r="A568" s="21">
        <v>46119</v>
      </c>
      <c r="B568">
        <v>7930</v>
      </c>
      <c r="C568">
        <v>3</v>
      </c>
      <c r="D568" s="22" t="s">
        <v>7</v>
      </c>
      <c r="E568" t="s">
        <v>4</v>
      </c>
      <c r="F568">
        <v>36</v>
      </c>
      <c r="G568" s="23">
        <v>0</v>
      </c>
      <c r="H568" s="24">
        <f t="shared" si="26"/>
        <v>180</v>
      </c>
      <c r="I568" s="25"/>
      <c r="J568" s="15">
        <f t="shared" si="21"/>
        <v>0</v>
      </c>
      <c r="K568" s="2"/>
    </row>
    <row r="569" spans="1:15" x14ac:dyDescent="0.3">
      <c r="A569" s="4">
        <v>46119</v>
      </c>
      <c r="B569" s="1">
        <v>7931</v>
      </c>
      <c r="C569" s="1">
        <v>1</v>
      </c>
      <c r="D569" s="1" t="s">
        <v>11</v>
      </c>
      <c r="E569" s="1" t="s">
        <v>12</v>
      </c>
      <c r="F569" s="1">
        <v>26</v>
      </c>
      <c r="G569" s="5">
        <v>0</v>
      </c>
      <c r="H569" s="6">
        <f t="shared" si="23"/>
        <v>156</v>
      </c>
      <c r="I569" s="7"/>
      <c r="J569" s="8">
        <f t="shared" si="21"/>
        <v>0</v>
      </c>
      <c r="K569" s="9"/>
      <c r="L569" s="1"/>
      <c r="M569" s="1"/>
      <c r="N569" s="1"/>
      <c r="O569" s="1"/>
    </row>
    <row r="570" spans="1:15" x14ac:dyDescent="0.3">
      <c r="A570" s="4">
        <v>46120</v>
      </c>
      <c r="B570" s="1">
        <v>7932</v>
      </c>
      <c r="C570" s="1">
        <v>1</v>
      </c>
      <c r="D570" s="26" t="s">
        <v>18</v>
      </c>
      <c r="E570" s="55" t="s">
        <v>20</v>
      </c>
      <c r="F570" s="1">
        <f>22+17+17+22+22+22</f>
        <v>122</v>
      </c>
      <c r="G570" s="5">
        <f>2+2+1+1</f>
        <v>6</v>
      </c>
      <c r="H570" s="6">
        <f>+F570*9+G570*1</f>
        <v>1104</v>
      </c>
      <c r="I570" s="7"/>
      <c r="J570" s="8">
        <f t="shared" si="21"/>
        <v>0</v>
      </c>
      <c r="K570" s="9"/>
      <c r="L570" s="1"/>
      <c r="M570" s="1"/>
      <c r="N570" s="1"/>
      <c r="O570" s="1"/>
    </row>
    <row r="571" spans="1:15" x14ac:dyDescent="0.3">
      <c r="A571" s="21">
        <v>46121</v>
      </c>
      <c r="B571">
        <v>7933</v>
      </c>
      <c r="C571">
        <v>1</v>
      </c>
      <c r="D571" s="22" t="s">
        <v>7</v>
      </c>
      <c r="E571" t="s">
        <v>4</v>
      </c>
      <c r="F571">
        <f>43+36+36+42</f>
        <v>157</v>
      </c>
      <c r="G571" s="23">
        <v>0</v>
      </c>
      <c r="H571" s="24">
        <f>+F571*5+G571*0.5</f>
        <v>785</v>
      </c>
      <c r="I571" s="25"/>
      <c r="J571" s="15">
        <f t="shared" si="21"/>
        <v>0</v>
      </c>
      <c r="K571" s="2"/>
    </row>
    <row r="572" spans="1:15" x14ac:dyDescent="0.3">
      <c r="A572" s="21">
        <v>46121</v>
      </c>
      <c r="B572">
        <v>7933</v>
      </c>
      <c r="C572">
        <v>2</v>
      </c>
      <c r="D572" s="22" t="s">
        <v>7</v>
      </c>
      <c r="E572" t="s">
        <v>3</v>
      </c>
      <c r="F572">
        <v>40</v>
      </c>
      <c r="G572" s="23">
        <v>0</v>
      </c>
      <c r="H572" s="24">
        <f>+F572*5+G572*0.5</f>
        <v>200</v>
      </c>
      <c r="I572" s="25"/>
      <c r="J572" s="15">
        <f t="shared" si="21"/>
        <v>0</v>
      </c>
      <c r="K572" s="2"/>
    </row>
    <row r="573" spans="1:15" x14ac:dyDescent="0.3">
      <c r="A573" s="21">
        <v>46121</v>
      </c>
      <c r="B573">
        <v>7934</v>
      </c>
      <c r="C573">
        <v>1</v>
      </c>
      <c r="D573" t="s">
        <v>27</v>
      </c>
      <c r="E573" t="s">
        <v>14</v>
      </c>
      <c r="F573">
        <f>33+33+35</f>
        <v>101</v>
      </c>
      <c r="G573" s="23">
        <v>28</v>
      </c>
      <c r="H573" s="24">
        <f t="shared" si="23"/>
        <v>620</v>
      </c>
      <c r="I573" s="25"/>
      <c r="J573" s="15">
        <f t="shared" si="21"/>
        <v>0</v>
      </c>
      <c r="K573" s="2"/>
    </row>
    <row r="574" spans="1:15" x14ac:dyDescent="0.3">
      <c r="A574" s="21">
        <v>46121</v>
      </c>
      <c r="B574">
        <v>7935</v>
      </c>
      <c r="C574">
        <v>1</v>
      </c>
      <c r="D574" t="s">
        <v>0</v>
      </c>
      <c r="E574" t="s">
        <v>14</v>
      </c>
      <c r="F574">
        <f>34+33+34+35+33+33</f>
        <v>202</v>
      </c>
      <c r="G574" s="23">
        <v>37</v>
      </c>
      <c r="H574" s="24">
        <f t="shared" si="23"/>
        <v>1230.5</v>
      </c>
      <c r="I574" s="25"/>
      <c r="J574" s="15">
        <f t="shared" si="21"/>
        <v>0</v>
      </c>
      <c r="K574" s="2"/>
    </row>
    <row r="575" spans="1:15" x14ac:dyDescent="0.3">
      <c r="A575" s="21">
        <v>46121</v>
      </c>
      <c r="B575">
        <v>7936</v>
      </c>
      <c r="C575">
        <v>1</v>
      </c>
      <c r="D575" t="s">
        <v>36</v>
      </c>
      <c r="E575" t="s">
        <v>14</v>
      </c>
      <c r="F575">
        <v>68</v>
      </c>
      <c r="G575" s="23">
        <v>18</v>
      </c>
      <c r="H575" s="24">
        <f t="shared" si="23"/>
        <v>417</v>
      </c>
      <c r="I575" s="25"/>
      <c r="J575" s="15">
        <f t="shared" si="21"/>
        <v>0</v>
      </c>
      <c r="K575" s="2"/>
    </row>
    <row r="576" spans="1:15" x14ac:dyDescent="0.3">
      <c r="A576" s="21">
        <v>46121</v>
      </c>
      <c r="B576">
        <v>7937</v>
      </c>
      <c r="C576">
        <v>1</v>
      </c>
      <c r="D576" t="s">
        <v>15</v>
      </c>
      <c r="E576" t="s">
        <v>14</v>
      </c>
      <c r="F576">
        <f>35+33+33+33</f>
        <v>134</v>
      </c>
      <c r="G576" s="23">
        <f>8+8+10+8</f>
        <v>34</v>
      </c>
      <c r="H576" s="24">
        <f t="shared" si="23"/>
        <v>821</v>
      </c>
      <c r="I576" s="25"/>
      <c r="J576" s="15">
        <f t="shared" si="21"/>
        <v>0</v>
      </c>
      <c r="K576" s="2"/>
    </row>
    <row r="577" spans="1:15" x14ac:dyDescent="0.3">
      <c r="A577" s="4">
        <v>46121</v>
      </c>
      <c r="B577" s="1">
        <v>7938</v>
      </c>
      <c r="C577" s="1">
        <v>1</v>
      </c>
      <c r="D577" s="1" t="s">
        <v>16</v>
      </c>
      <c r="E577" s="1" t="s">
        <v>14</v>
      </c>
      <c r="F577" s="1">
        <f>33+33</f>
        <v>66</v>
      </c>
      <c r="G577" s="5">
        <f>10+7</f>
        <v>17</v>
      </c>
      <c r="H577" s="6">
        <f t="shared" si="23"/>
        <v>404.5</v>
      </c>
      <c r="I577" s="7"/>
      <c r="J577" s="8">
        <f t="shared" si="21"/>
        <v>0</v>
      </c>
      <c r="K577" s="9"/>
      <c r="L577" s="1"/>
      <c r="M577" s="1"/>
      <c r="N577" s="1"/>
      <c r="O577" s="1"/>
    </row>
    <row r="578" spans="1:15" x14ac:dyDescent="0.3">
      <c r="A578" s="21">
        <v>46122</v>
      </c>
      <c r="B578">
        <v>7939</v>
      </c>
      <c r="C578">
        <v>1</v>
      </c>
      <c r="D578" s="22" t="s">
        <v>18</v>
      </c>
      <c r="E578" t="s">
        <v>33</v>
      </c>
      <c r="F578">
        <f>13+16+16+16+16+14+16+16</f>
        <v>123</v>
      </c>
      <c r="G578" s="23">
        <f>8+10+5+7+9+11+3+9</f>
        <v>62</v>
      </c>
      <c r="H578" s="24">
        <f>+F578*12+G578*1</f>
        <v>1538</v>
      </c>
      <c r="I578" s="25"/>
      <c r="J578" s="15">
        <f t="shared" si="21"/>
        <v>0</v>
      </c>
      <c r="K578" s="2"/>
    </row>
    <row r="579" spans="1:15" x14ac:dyDescent="0.3">
      <c r="A579" s="21">
        <v>46122</v>
      </c>
      <c r="B579">
        <v>7940</v>
      </c>
      <c r="C579">
        <v>1</v>
      </c>
      <c r="D579" s="22" t="s">
        <v>7</v>
      </c>
      <c r="E579" t="s">
        <v>56</v>
      </c>
      <c r="F579">
        <f>39+38+39+39+40+40+38+40+40+39+39+39</f>
        <v>470</v>
      </c>
      <c r="G579" s="23">
        <v>0</v>
      </c>
      <c r="H579" s="24">
        <f>+F579*5+G579*0.5</f>
        <v>2350</v>
      </c>
      <c r="I579" s="25"/>
      <c r="J579" s="15">
        <f t="shared" si="21"/>
        <v>0</v>
      </c>
      <c r="K579" s="2"/>
    </row>
    <row r="580" spans="1:15" x14ac:dyDescent="0.3">
      <c r="A580" s="21">
        <v>46122</v>
      </c>
      <c r="B580">
        <v>7941</v>
      </c>
      <c r="C580">
        <v>1</v>
      </c>
      <c r="D580" s="22" t="s">
        <v>7</v>
      </c>
      <c r="E580" t="s">
        <v>56</v>
      </c>
      <c r="F580">
        <f>39+39+39+39+39+37+40+39+39+40+39+38+38</f>
        <v>505</v>
      </c>
      <c r="G580" s="23">
        <v>0</v>
      </c>
      <c r="H580" s="24">
        <f>+F580*5+G580*0.5</f>
        <v>2525</v>
      </c>
      <c r="I580" s="25"/>
      <c r="J580" s="15">
        <f t="shared" si="21"/>
        <v>0</v>
      </c>
      <c r="K580" s="2"/>
    </row>
    <row r="581" spans="1:15" x14ac:dyDescent="0.3">
      <c r="A581" s="21">
        <v>46122</v>
      </c>
      <c r="B581" s="90">
        <v>7942</v>
      </c>
      <c r="C581" s="90">
        <v>1</v>
      </c>
      <c r="D581" s="91" t="s">
        <v>18</v>
      </c>
      <c r="E581" s="90" t="s">
        <v>14</v>
      </c>
      <c r="F581" s="90">
        <f>33+33+33+33+33</f>
        <v>165</v>
      </c>
      <c r="G581" s="92">
        <f>10+11+11+9+3</f>
        <v>44</v>
      </c>
      <c r="H581" s="93">
        <f t="shared" si="23"/>
        <v>1012</v>
      </c>
      <c r="I581" s="94"/>
      <c r="J581" s="95">
        <f t="shared" si="21"/>
        <v>0</v>
      </c>
      <c r="K581" s="96"/>
      <c r="L581" s="90"/>
      <c r="M581" s="90"/>
      <c r="N581" s="90"/>
      <c r="O581" s="90"/>
    </row>
    <row r="582" spans="1:15" x14ac:dyDescent="0.3">
      <c r="A582" s="97">
        <v>46122</v>
      </c>
      <c r="B582" s="90">
        <v>7943</v>
      </c>
      <c r="C582" s="90">
        <v>1</v>
      </c>
      <c r="D582" s="91" t="s">
        <v>2</v>
      </c>
      <c r="E582" s="90" t="s">
        <v>57</v>
      </c>
      <c r="F582" s="90">
        <v>10</v>
      </c>
      <c r="G582" s="92">
        <v>0</v>
      </c>
      <c r="H582" s="93">
        <f>+F582*5+G582*0.5</f>
        <v>50</v>
      </c>
      <c r="I582" s="94"/>
      <c r="J582" s="95">
        <f t="shared" si="21"/>
        <v>0</v>
      </c>
      <c r="K582" s="96"/>
      <c r="L582" s="90"/>
      <c r="M582" s="90"/>
      <c r="N582" s="90"/>
      <c r="O582" s="90"/>
    </row>
    <row r="583" spans="1:15" x14ac:dyDescent="0.3">
      <c r="A583" s="97">
        <v>46122</v>
      </c>
      <c r="B583" s="90">
        <v>7943</v>
      </c>
      <c r="C583" s="90">
        <v>2</v>
      </c>
      <c r="D583" s="91" t="s">
        <v>2</v>
      </c>
      <c r="E583" s="90" t="s">
        <v>46</v>
      </c>
      <c r="F583" s="90">
        <v>25</v>
      </c>
      <c r="G583" s="92">
        <v>0</v>
      </c>
      <c r="H583" s="93">
        <f t="shared" ref="H583:H584" si="27">+F583*5+G583*0.5</f>
        <v>125</v>
      </c>
      <c r="I583" s="94"/>
      <c r="J583" s="95">
        <f t="shared" si="21"/>
        <v>0</v>
      </c>
      <c r="K583" s="96"/>
      <c r="L583" s="90"/>
      <c r="M583" s="90"/>
      <c r="N583" s="90"/>
      <c r="O583" s="90"/>
    </row>
    <row r="584" spans="1:15" x14ac:dyDescent="0.3">
      <c r="A584" s="98">
        <v>46122</v>
      </c>
      <c r="B584" s="99">
        <v>7943</v>
      </c>
      <c r="C584" s="99">
        <v>3</v>
      </c>
      <c r="D584" s="100" t="s">
        <v>2</v>
      </c>
      <c r="E584" t="s">
        <v>50</v>
      </c>
      <c r="F584" s="99">
        <v>18</v>
      </c>
      <c r="G584" s="101">
        <v>0</v>
      </c>
      <c r="H584" s="102">
        <f t="shared" si="27"/>
        <v>90</v>
      </c>
      <c r="I584" s="103"/>
      <c r="J584" s="104">
        <f t="shared" si="21"/>
        <v>0</v>
      </c>
      <c r="K584" s="105"/>
      <c r="L584" s="99"/>
      <c r="M584" s="99"/>
      <c r="N584" s="99"/>
      <c r="O584" s="99"/>
    </row>
    <row r="585" spans="1:15" x14ac:dyDescent="0.3">
      <c r="A585" s="21">
        <v>46123</v>
      </c>
      <c r="B585">
        <v>7944</v>
      </c>
      <c r="C585">
        <v>1</v>
      </c>
      <c r="D585" t="s">
        <v>27</v>
      </c>
      <c r="E585" t="s">
        <v>14</v>
      </c>
      <c r="F585">
        <v>33</v>
      </c>
      <c r="G585" s="23">
        <v>10</v>
      </c>
      <c r="H585" s="24">
        <f t="shared" si="23"/>
        <v>203</v>
      </c>
      <c r="I585" s="25"/>
      <c r="J585" s="15">
        <f t="shared" si="21"/>
        <v>0</v>
      </c>
      <c r="K585" s="2"/>
    </row>
    <row r="586" spans="1:15" x14ac:dyDescent="0.3">
      <c r="A586" s="21">
        <v>46123</v>
      </c>
      <c r="B586">
        <v>7945</v>
      </c>
      <c r="C586">
        <v>1</v>
      </c>
      <c r="D586" t="s">
        <v>0</v>
      </c>
      <c r="E586" t="s">
        <v>14</v>
      </c>
      <c r="F586">
        <v>33</v>
      </c>
      <c r="G586" s="23">
        <v>11</v>
      </c>
      <c r="H586" s="24">
        <f t="shared" si="23"/>
        <v>203.5</v>
      </c>
      <c r="I586" s="25"/>
      <c r="J586" s="15">
        <f t="shared" si="21"/>
        <v>0</v>
      </c>
      <c r="K586" s="2"/>
    </row>
    <row r="587" spans="1:15" x14ac:dyDescent="0.3">
      <c r="A587" s="21">
        <v>46123</v>
      </c>
      <c r="B587">
        <v>7946</v>
      </c>
      <c r="C587">
        <v>1</v>
      </c>
      <c r="D587" t="s">
        <v>15</v>
      </c>
      <c r="E587" t="s">
        <v>14</v>
      </c>
      <c r="F587">
        <f>33+33+33+33</f>
        <v>132</v>
      </c>
      <c r="G587" s="23">
        <f>6+11+9+11</f>
        <v>37</v>
      </c>
      <c r="H587" s="24">
        <f t="shared" si="23"/>
        <v>810.5</v>
      </c>
      <c r="I587" s="25"/>
      <c r="J587" s="15">
        <f t="shared" si="21"/>
        <v>0</v>
      </c>
      <c r="K587" s="2"/>
    </row>
    <row r="588" spans="1:15" x14ac:dyDescent="0.3">
      <c r="A588" s="21">
        <v>46123</v>
      </c>
      <c r="B588">
        <v>7947</v>
      </c>
      <c r="C588">
        <v>1</v>
      </c>
      <c r="D588" t="s">
        <v>23</v>
      </c>
      <c r="E588" t="s">
        <v>14</v>
      </c>
      <c r="F588">
        <v>35</v>
      </c>
      <c r="G588" s="23">
        <v>6</v>
      </c>
      <c r="H588" s="24">
        <f t="shared" si="23"/>
        <v>213</v>
      </c>
      <c r="I588" s="25"/>
      <c r="J588" s="15">
        <f t="shared" si="21"/>
        <v>0</v>
      </c>
      <c r="K588" s="2"/>
    </row>
    <row r="589" spans="1:15" x14ac:dyDescent="0.3">
      <c r="A589" s="21">
        <v>46123</v>
      </c>
      <c r="B589">
        <v>7948</v>
      </c>
      <c r="C589">
        <v>1</v>
      </c>
      <c r="D589" t="s">
        <v>17</v>
      </c>
      <c r="E589" t="s">
        <v>1</v>
      </c>
      <c r="F589">
        <v>33</v>
      </c>
      <c r="G589" s="23">
        <v>6</v>
      </c>
      <c r="H589" s="24">
        <f t="shared" si="23"/>
        <v>201</v>
      </c>
      <c r="I589" s="25"/>
      <c r="J589" s="15">
        <f t="shared" si="21"/>
        <v>0</v>
      </c>
      <c r="K589" s="2"/>
    </row>
    <row r="590" spans="1:15" x14ac:dyDescent="0.3">
      <c r="A590" s="21">
        <v>46123</v>
      </c>
      <c r="B590">
        <v>7949</v>
      </c>
      <c r="C590">
        <v>1</v>
      </c>
      <c r="D590" t="s">
        <v>17</v>
      </c>
      <c r="E590" t="s">
        <v>14</v>
      </c>
      <c r="F590">
        <v>35</v>
      </c>
      <c r="G590" s="23">
        <v>10</v>
      </c>
      <c r="H590" s="24">
        <f t="shared" si="23"/>
        <v>215</v>
      </c>
      <c r="I590" s="25"/>
      <c r="J590" s="15">
        <f t="shared" si="21"/>
        <v>0</v>
      </c>
      <c r="K590" s="2"/>
    </row>
    <row r="591" spans="1:15" x14ac:dyDescent="0.3">
      <c r="A591" s="4">
        <v>46123</v>
      </c>
      <c r="B591" s="1">
        <v>7950</v>
      </c>
      <c r="C591" s="1">
        <v>1</v>
      </c>
      <c r="D591" s="26" t="s">
        <v>18</v>
      </c>
      <c r="E591" s="55" t="s">
        <v>20</v>
      </c>
      <c r="F591" s="1">
        <f>22+22+21+22+14+19</f>
        <v>120</v>
      </c>
      <c r="G591" s="5">
        <f>2+1+10+5</f>
        <v>18</v>
      </c>
      <c r="H591" s="6">
        <f>+F591*9+G591*1</f>
        <v>1098</v>
      </c>
      <c r="I591" s="7"/>
      <c r="J591" s="8">
        <f t="shared" si="21"/>
        <v>0</v>
      </c>
      <c r="K591" s="9"/>
      <c r="L591" s="1"/>
      <c r="M591" s="1"/>
      <c r="N591" s="1"/>
      <c r="O591" s="1"/>
    </row>
    <row r="592" spans="1:15" x14ac:dyDescent="0.3">
      <c r="A592" s="21">
        <v>46125</v>
      </c>
      <c r="B592">
        <v>7951</v>
      </c>
      <c r="C592">
        <v>1</v>
      </c>
      <c r="D592" t="s">
        <v>55</v>
      </c>
      <c r="E592" t="s">
        <v>33</v>
      </c>
      <c r="F592">
        <f>33+33</f>
        <v>66</v>
      </c>
      <c r="G592" s="23">
        <v>7</v>
      </c>
      <c r="H592" s="24">
        <f>+F592*6+G592*1</f>
        <v>403</v>
      </c>
      <c r="I592" s="25"/>
      <c r="J592" s="15">
        <f t="shared" si="21"/>
        <v>0</v>
      </c>
      <c r="K592" s="2"/>
    </row>
    <row r="593" spans="1:15" x14ac:dyDescent="0.3">
      <c r="A593" s="21">
        <v>46125</v>
      </c>
      <c r="B593">
        <v>7952</v>
      </c>
      <c r="C593">
        <v>1</v>
      </c>
      <c r="D593" t="s">
        <v>25</v>
      </c>
      <c r="E593" t="s">
        <v>1</v>
      </c>
      <c r="F593">
        <f>34+33</f>
        <v>67</v>
      </c>
      <c r="G593" s="23">
        <v>9</v>
      </c>
      <c r="H593" s="24">
        <f t="shared" ref="H593:H649" si="28">+F593*6+G593*0.5</f>
        <v>406.5</v>
      </c>
      <c r="I593" s="25"/>
      <c r="J593" s="15">
        <f t="shared" si="21"/>
        <v>0</v>
      </c>
      <c r="K593" s="2"/>
    </row>
    <row r="594" spans="1:15" x14ac:dyDescent="0.3">
      <c r="A594" s="21">
        <v>46125</v>
      </c>
      <c r="B594">
        <v>7953</v>
      </c>
      <c r="C594">
        <v>1</v>
      </c>
      <c r="D594" t="s">
        <v>15</v>
      </c>
      <c r="E594" t="s">
        <v>14</v>
      </c>
      <c r="F594">
        <f>34+33+33+33</f>
        <v>133</v>
      </c>
      <c r="G594" s="23">
        <f>8+9+4</f>
        <v>21</v>
      </c>
      <c r="H594" s="24">
        <f t="shared" si="28"/>
        <v>808.5</v>
      </c>
      <c r="I594" s="25"/>
      <c r="J594" s="15">
        <f t="shared" si="21"/>
        <v>0</v>
      </c>
      <c r="K594" s="2"/>
    </row>
    <row r="595" spans="1:15" x14ac:dyDescent="0.3">
      <c r="A595" s="21">
        <v>46125</v>
      </c>
      <c r="B595">
        <v>7954</v>
      </c>
      <c r="C595">
        <v>1</v>
      </c>
      <c r="D595" t="s">
        <v>29</v>
      </c>
      <c r="E595" t="s">
        <v>14</v>
      </c>
      <c r="F595">
        <v>35</v>
      </c>
      <c r="G595" s="23">
        <v>11</v>
      </c>
      <c r="H595" s="24">
        <f t="shared" si="28"/>
        <v>215.5</v>
      </c>
      <c r="I595" s="25"/>
      <c r="J595" s="15">
        <f t="shared" si="21"/>
        <v>0</v>
      </c>
      <c r="K595" s="2"/>
    </row>
    <row r="596" spans="1:15" x14ac:dyDescent="0.3">
      <c r="A596" s="21">
        <v>46125</v>
      </c>
      <c r="B596">
        <v>7955</v>
      </c>
      <c r="C596">
        <v>1</v>
      </c>
      <c r="D596" s="22" t="s">
        <v>18</v>
      </c>
      <c r="E596" s="28" t="s">
        <v>20</v>
      </c>
      <c r="F596">
        <f>20+22+21</f>
        <v>63</v>
      </c>
      <c r="G596" s="23">
        <f>2+1+6</f>
        <v>9</v>
      </c>
      <c r="H596" s="24">
        <f>+F596*9+G596*1</f>
        <v>576</v>
      </c>
      <c r="I596" s="25"/>
      <c r="J596" s="15">
        <f t="shared" si="21"/>
        <v>0</v>
      </c>
      <c r="K596" s="2"/>
    </row>
    <row r="597" spans="1:15" x14ac:dyDescent="0.3">
      <c r="A597" s="21">
        <v>46125</v>
      </c>
      <c r="B597">
        <v>7956</v>
      </c>
      <c r="C597">
        <v>1</v>
      </c>
      <c r="D597" t="s">
        <v>16</v>
      </c>
      <c r="E597" t="s">
        <v>14</v>
      </c>
      <c r="F597">
        <f>33+33+32+33+33+33+33</f>
        <v>230</v>
      </c>
      <c r="G597" s="23">
        <f>10+9+10+7+9+11+8</f>
        <v>64</v>
      </c>
      <c r="H597" s="24">
        <f t="shared" si="28"/>
        <v>1412</v>
      </c>
      <c r="I597" s="25"/>
      <c r="J597" s="15">
        <f t="shared" si="21"/>
        <v>0</v>
      </c>
      <c r="K597" s="2"/>
    </row>
    <row r="598" spans="1:15" x14ac:dyDescent="0.3">
      <c r="A598" s="21">
        <v>46125</v>
      </c>
      <c r="B598">
        <v>7957</v>
      </c>
      <c r="C598">
        <v>1</v>
      </c>
      <c r="D598" t="s">
        <v>23</v>
      </c>
      <c r="E598" t="s">
        <v>14</v>
      </c>
      <c r="F598">
        <f>35+33+33</f>
        <v>101</v>
      </c>
      <c r="G598" s="23">
        <v>18</v>
      </c>
      <c r="H598" s="24">
        <f t="shared" si="28"/>
        <v>615</v>
      </c>
      <c r="I598" s="25"/>
      <c r="J598" s="15">
        <f t="shared" si="21"/>
        <v>0</v>
      </c>
      <c r="K598" s="2"/>
    </row>
    <row r="599" spans="1:15" x14ac:dyDescent="0.3">
      <c r="A599" s="4">
        <v>46125</v>
      </c>
      <c r="B599" s="1">
        <v>7958</v>
      </c>
      <c r="C599" s="1">
        <v>1</v>
      </c>
      <c r="D599" s="1" t="s">
        <v>17</v>
      </c>
      <c r="E599" s="1" t="s">
        <v>14</v>
      </c>
      <c r="F599" s="1">
        <v>66</v>
      </c>
      <c r="G599" s="5">
        <v>22</v>
      </c>
      <c r="H599" s="6">
        <f t="shared" si="28"/>
        <v>407</v>
      </c>
      <c r="I599" s="7"/>
      <c r="J599" s="8">
        <f t="shared" si="21"/>
        <v>0</v>
      </c>
      <c r="K599" s="9"/>
      <c r="L599" s="1"/>
      <c r="M599" s="1"/>
      <c r="N599" s="1"/>
      <c r="O599" s="1"/>
    </row>
    <row r="600" spans="1:15" x14ac:dyDescent="0.3">
      <c r="A600" s="21">
        <v>46126</v>
      </c>
      <c r="B600">
        <v>7959</v>
      </c>
      <c r="C600">
        <v>1</v>
      </c>
      <c r="D600" s="22" t="s">
        <v>18</v>
      </c>
      <c r="E600" s="28" t="s">
        <v>58</v>
      </c>
      <c r="F600">
        <v>65</v>
      </c>
      <c r="G600" s="23">
        <v>9</v>
      </c>
      <c r="H600" s="24">
        <f>+F600*9+G600*1</f>
        <v>594</v>
      </c>
      <c r="I600" s="25"/>
      <c r="J600" s="15">
        <f t="shared" si="21"/>
        <v>0</v>
      </c>
      <c r="K600" s="2"/>
    </row>
    <row r="601" spans="1:15" x14ac:dyDescent="0.3">
      <c r="A601" s="4">
        <v>46126</v>
      </c>
      <c r="B601" s="1">
        <v>7960</v>
      </c>
      <c r="C601" s="1">
        <v>1</v>
      </c>
      <c r="D601" s="1" t="s">
        <v>11</v>
      </c>
      <c r="E601" s="1" t="s">
        <v>12</v>
      </c>
      <c r="F601" s="1">
        <v>34</v>
      </c>
      <c r="G601" s="5">
        <v>0</v>
      </c>
      <c r="H601" s="6">
        <f t="shared" si="28"/>
        <v>204</v>
      </c>
      <c r="I601" s="7"/>
      <c r="J601" s="8">
        <f t="shared" si="21"/>
        <v>0</v>
      </c>
      <c r="K601" s="9"/>
      <c r="L601" s="1"/>
      <c r="M601" s="1"/>
      <c r="N601" s="1"/>
      <c r="O601" s="1"/>
    </row>
    <row r="602" spans="1:15" x14ac:dyDescent="0.3">
      <c r="A602" s="21">
        <v>46127</v>
      </c>
      <c r="B602">
        <v>7961</v>
      </c>
      <c r="C602">
        <v>1</v>
      </c>
      <c r="D602" s="22" t="s">
        <v>7</v>
      </c>
      <c r="E602" t="s">
        <v>4</v>
      </c>
      <c r="F602">
        <v>226</v>
      </c>
      <c r="G602" s="23">
        <v>0</v>
      </c>
      <c r="H602" s="24">
        <f>+F602*5+G602*0.5</f>
        <v>1130</v>
      </c>
      <c r="I602" s="25"/>
      <c r="J602" s="15">
        <f t="shared" si="21"/>
        <v>0</v>
      </c>
      <c r="K602" s="2"/>
    </row>
    <row r="603" spans="1:15" x14ac:dyDescent="0.3">
      <c r="A603" s="21">
        <v>46127</v>
      </c>
      <c r="B603">
        <v>7961</v>
      </c>
      <c r="C603">
        <v>2</v>
      </c>
      <c r="D603" s="22" t="s">
        <v>7</v>
      </c>
      <c r="E603" t="s">
        <v>3</v>
      </c>
      <c r="F603">
        <v>38</v>
      </c>
      <c r="G603" s="23">
        <v>0</v>
      </c>
      <c r="H603" s="24">
        <f>+F603*5+G603*0.5</f>
        <v>190</v>
      </c>
      <c r="I603" s="25"/>
      <c r="J603" s="15">
        <f t="shared" si="21"/>
        <v>0</v>
      </c>
      <c r="K603" s="2"/>
    </row>
    <row r="604" spans="1:15" x14ac:dyDescent="0.3">
      <c r="A604" s="21">
        <v>46127</v>
      </c>
      <c r="B604">
        <v>7961</v>
      </c>
      <c r="C604">
        <v>3</v>
      </c>
      <c r="D604" s="22" t="s">
        <v>7</v>
      </c>
      <c r="E604" t="s">
        <v>9</v>
      </c>
      <c r="F604">
        <v>145</v>
      </c>
      <c r="G604" s="23">
        <v>0</v>
      </c>
      <c r="H604" s="24">
        <f>+F604*7+G604*0.5</f>
        <v>1015</v>
      </c>
      <c r="I604" s="25"/>
      <c r="J604" s="15">
        <f t="shared" si="21"/>
        <v>0</v>
      </c>
      <c r="K604" s="2"/>
    </row>
    <row r="605" spans="1:15" x14ac:dyDescent="0.3">
      <c r="A605" s="4">
        <v>46127</v>
      </c>
      <c r="B605" s="1">
        <v>7962</v>
      </c>
      <c r="C605" s="1">
        <v>1</v>
      </c>
      <c r="D605" s="26" t="s">
        <v>18</v>
      </c>
      <c r="E605" s="1" t="s">
        <v>19</v>
      </c>
      <c r="F605" s="1">
        <v>15</v>
      </c>
      <c r="G605" s="5">
        <v>0</v>
      </c>
      <c r="H605" s="6">
        <f t="shared" si="28"/>
        <v>90</v>
      </c>
      <c r="I605" s="7"/>
      <c r="J605" s="8">
        <f t="shared" si="21"/>
        <v>0</v>
      </c>
      <c r="K605" s="9"/>
      <c r="L605" s="1"/>
      <c r="M605" s="1"/>
      <c r="N605" s="1"/>
      <c r="O605" s="1"/>
    </row>
    <row r="606" spans="1:15" x14ac:dyDescent="0.3">
      <c r="A606" s="21">
        <v>46128</v>
      </c>
      <c r="B606">
        <v>7963</v>
      </c>
      <c r="C606">
        <v>1</v>
      </c>
      <c r="D606" t="s">
        <v>11</v>
      </c>
      <c r="E606" t="s">
        <v>12</v>
      </c>
      <c r="F606">
        <v>33</v>
      </c>
      <c r="G606" s="23">
        <v>4</v>
      </c>
      <c r="H606" s="24">
        <f>+F606*6+G606*1</f>
        <v>202</v>
      </c>
      <c r="I606" s="25"/>
      <c r="J606" s="15">
        <f t="shared" si="21"/>
        <v>0</v>
      </c>
      <c r="K606" s="2"/>
    </row>
    <row r="607" spans="1:15" x14ac:dyDescent="0.3">
      <c r="A607" s="21">
        <v>46128</v>
      </c>
      <c r="B607">
        <v>7964</v>
      </c>
      <c r="C607">
        <v>1</v>
      </c>
      <c r="D607" s="22" t="s">
        <v>18</v>
      </c>
      <c r="E607" s="28" t="s">
        <v>20</v>
      </c>
      <c r="F607">
        <v>64</v>
      </c>
      <c r="G607" s="23">
        <v>9</v>
      </c>
      <c r="H607" s="24">
        <f>+F607*9+G607*1</f>
        <v>585</v>
      </c>
      <c r="I607" s="25"/>
      <c r="J607" s="15">
        <f t="shared" si="21"/>
        <v>0</v>
      </c>
      <c r="K607" s="2"/>
    </row>
    <row r="608" spans="1:15" x14ac:dyDescent="0.3">
      <c r="A608" s="21">
        <v>46128</v>
      </c>
      <c r="B608">
        <v>7965</v>
      </c>
      <c r="C608">
        <v>1</v>
      </c>
      <c r="D608" t="s">
        <v>36</v>
      </c>
      <c r="E608" t="s">
        <v>14</v>
      </c>
      <c r="F608">
        <f>33+33+35+33+33+33</f>
        <v>200</v>
      </c>
      <c r="G608" s="23">
        <f>11+11+9+8+10+7</f>
        <v>56</v>
      </c>
      <c r="H608" s="24">
        <f t="shared" si="28"/>
        <v>1228</v>
      </c>
      <c r="I608" s="25"/>
      <c r="J608" s="15">
        <f t="shared" si="21"/>
        <v>0</v>
      </c>
      <c r="K608" s="2"/>
    </row>
    <row r="609" spans="1:15" x14ac:dyDescent="0.3">
      <c r="A609" s="21">
        <v>46128</v>
      </c>
      <c r="B609">
        <v>7966</v>
      </c>
      <c r="C609">
        <v>1</v>
      </c>
      <c r="D609" t="s">
        <v>25</v>
      </c>
      <c r="E609" t="s">
        <v>1</v>
      </c>
      <c r="F609">
        <v>34</v>
      </c>
      <c r="G609" s="23">
        <v>0</v>
      </c>
      <c r="H609" s="24">
        <f t="shared" si="28"/>
        <v>204</v>
      </c>
      <c r="I609" s="25"/>
      <c r="J609" s="15">
        <f t="shared" si="21"/>
        <v>0</v>
      </c>
      <c r="K609" s="2"/>
    </row>
    <row r="610" spans="1:15" x14ac:dyDescent="0.3">
      <c r="A610" s="21">
        <v>46128</v>
      </c>
      <c r="B610">
        <v>7967</v>
      </c>
      <c r="C610">
        <v>1</v>
      </c>
      <c r="D610" t="s">
        <v>16</v>
      </c>
      <c r="E610" t="s">
        <v>14</v>
      </c>
      <c r="F610">
        <f>33+33</f>
        <v>66</v>
      </c>
      <c r="G610" s="23">
        <v>15</v>
      </c>
      <c r="H610" s="24">
        <f t="shared" si="28"/>
        <v>403.5</v>
      </c>
      <c r="I610" s="25"/>
      <c r="J610" s="15">
        <f t="shared" si="21"/>
        <v>0</v>
      </c>
      <c r="K610" s="2"/>
    </row>
    <row r="611" spans="1:15" x14ac:dyDescent="0.3">
      <c r="A611" s="21">
        <v>46128</v>
      </c>
      <c r="B611">
        <v>7968</v>
      </c>
      <c r="C611">
        <v>1</v>
      </c>
      <c r="D611" s="22" t="s">
        <v>7</v>
      </c>
      <c r="E611" t="s">
        <v>9</v>
      </c>
      <c r="F611">
        <v>30</v>
      </c>
      <c r="G611" s="23">
        <v>0</v>
      </c>
      <c r="H611" s="24">
        <f>+F611*7+G611*0.5</f>
        <v>210</v>
      </c>
      <c r="I611" s="25"/>
      <c r="J611" s="15">
        <f t="shared" si="21"/>
        <v>0</v>
      </c>
      <c r="K611" s="2"/>
    </row>
    <row r="612" spans="1:15" x14ac:dyDescent="0.3">
      <c r="A612" s="21">
        <v>46128</v>
      </c>
      <c r="B612">
        <v>7968</v>
      </c>
      <c r="C612">
        <v>2</v>
      </c>
      <c r="D612" s="22" t="s">
        <v>7</v>
      </c>
      <c r="E612" t="s">
        <v>3</v>
      </c>
      <c r="F612">
        <v>39</v>
      </c>
      <c r="G612" s="23">
        <v>0</v>
      </c>
      <c r="H612" s="24">
        <f>+F612*5+G612*0.5</f>
        <v>195</v>
      </c>
      <c r="I612" s="25"/>
      <c r="J612" s="15">
        <f t="shared" si="21"/>
        <v>0</v>
      </c>
      <c r="K612" s="2"/>
    </row>
    <row r="613" spans="1:15" x14ac:dyDescent="0.3">
      <c r="A613" s="21">
        <v>46128</v>
      </c>
      <c r="B613">
        <v>7969</v>
      </c>
      <c r="C613">
        <v>1</v>
      </c>
      <c r="D613" t="s">
        <v>39</v>
      </c>
      <c r="E613" t="s">
        <v>1</v>
      </c>
      <c r="F613">
        <f>34+33+33</f>
        <v>100</v>
      </c>
      <c r="G613" s="23">
        <v>16</v>
      </c>
      <c r="H613" s="24">
        <f t="shared" si="28"/>
        <v>608</v>
      </c>
      <c r="I613" s="25"/>
      <c r="J613" s="15">
        <f t="shared" si="21"/>
        <v>0</v>
      </c>
      <c r="K613" s="2"/>
    </row>
    <row r="614" spans="1:15" x14ac:dyDescent="0.3">
      <c r="A614" s="21">
        <v>46128</v>
      </c>
      <c r="B614">
        <v>7970</v>
      </c>
      <c r="C614">
        <v>1</v>
      </c>
      <c r="D614" t="s">
        <v>0</v>
      </c>
      <c r="E614" t="s">
        <v>14</v>
      </c>
      <c r="F614">
        <f>33+35+33+33</f>
        <v>134</v>
      </c>
      <c r="G614" s="23">
        <v>19</v>
      </c>
      <c r="H614" s="24">
        <f t="shared" si="28"/>
        <v>813.5</v>
      </c>
      <c r="I614" s="25"/>
      <c r="J614" s="15">
        <f t="shared" si="21"/>
        <v>0</v>
      </c>
      <c r="K614" s="2"/>
    </row>
    <row r="615" spans="1:15" x14ac:dyDescent="0.3">
      <c r="A615" s="21">
        <v>46128</v>
      </c>
      <c r="B615">
        <v>7971</v>
      </c>
      <c r="C615">
        <v>1</v>
      </c>
      <c r="D615" t="s">
        <v>0</v>
      </c>
      <c r="E615" t="s">
        <v>1</v>
      </c>
      <c r="F615">
        <v>33</v>
      </c>
      <c r="G615" s="23">
        <v>5</v>
      </c>
      <c r="H615" s="24">
        <f t="shared" si="28"/>
        <v>200.5</v>
      </c>
      <c r="I615" s="25"/>
      <c r="J615" s="15">
        <f t="shared" si="21"/>
        <v>0</v>
      </c>
      <c r="K615" s="2"/>
    </row>
    <row r="616" spans="1:15" x14ac:dyDescent="0.3">
      <c r="A616" s="21">
        <v>46128</v>
      </c>
      <c r="B616">
        <v>7972</v>
      </c>
      <c r="C616">
        <v>1</v>
      </c>
      <c r="D616" t="s">
        <v>16</v>
      </c>
      <c r="E616" t="s">
        <v>14</v>
      </c>
      <c r="F616">
        <v>33</v>
      </c>
      <c r="G616" s="23">
        <v>9</v>
      </c>
      <c r="H616" s="24">
        <f t="shared" si="28"/>
        <v>202.5</v>
      </c>
      <c r="I616" s="25"/>
      <c r="J616" s="15">
        <f t="shared" si="21"/>
        <v>0</v>
      </c>
      <c r="K616" s="2"/>
    </row>
    <row r="617" spans="1:15" x14ac:dyDescent="0.3">
      <c r="A617" s="21">
        <v>46128</v>
      </c>
      <c r="B617">
        <v>7973</v>
      </c>
      <c r="C617">
        <v>1</v>
      </c>
      <c r="D617" t="s">
        <v>29</v>
      </c>
      <c r="E617" t="s">
        <v>14</v>
      </c>
      <c r="F617">
        <v>33</v>
      </c>
      <c r="G617" s="23">
        <v>8</v>
      </c>
      <c r="H617" s="24">
        <f t="shared" si="28"/>
        <v>202</v>
      </c>
      <c r="I617" s="25"/>
      <c r="J617" s="15">
        <f t="shared" si="21"/>
        <v>0</v>
      </c>
      <c r="K617" s="2"/>
    </row>
    <row r="618" spans="1:15" x14ac:dyDescent="0.3">
      <c r="A618" s="21">
        <v>46128</v>
      </c>
      <c r="B618">
        <v>7974</v>
      </c>
      <c r="C618">
        <v>1</v>
      </c>
      <c r="D618" t="s">
        <v>17</v>
      </c>
      <c r="E618" t="s">
        <v>14</v>
      </c>
      <c r="F618">
        <v>66</v>
      </c>
      <c r="G618" s="23">
        <v>20</v>
      </c>
      <c r="H618" s="24">
        <f t="shared" si="28"/>
        <v>406</v>
      </c>
      <c r="I618" s="25"/>
      <c r="J618" s="15">
        <f t="shared" si="21"/>
        <v>0</v>
      </c>
      <c r="K618" s="2"/>
    </row>
    <row r="619" spans="1:15" x14ac:dyDescent="0.3">
      <c r="A619" s="4">
        <v>46128</v>
      </c>
      <c r="B619" s="1">
        <v>7975</v>
      </c>
      <c r="C619" s="1">
        <v>1</v>
      </c>
      <c r="D619" s="1" t="s">
        <v>11</v>
      </c>
      <c r="E619" s="1" t="s">
        <v>12</v>
      </c>
      <c r="F619" s="1">
        <v>30</v>
      </c>
      <c r="G619" s="5">
        <v>5</v>
      </c>
      <c r="H619" s="6">
        <f>+F619*6+G619*1</f>
        <v>185</v>
      </c>
      <c r="I619" s="7"/>
      <c r="J619" s="8">
        <f t="shared" si="21"/>
        <v>0</v>
      </c>
      <c r="K619" s="9"/>
      <c r="L619" s="1"/>
      <c r="M619" s="1"/>
      <c r="N619" s="1"/>
      <c r="O619" s="1"/>
    </row>
    <row r="620" spans="1:15" x14ac:dyDescent="0.3">
      <c r="A620" s="97">
        <v>46129</v>
      </c>
      <c r="B620" s="90">
        <v>7976</v>
      </c>
      <c r="C620" s="90">
        <v>1</v>
      </c>
      <c r="D620" s="91" t="s">
        <v>2</v>
      </c>
      <c r="E620" t="s">
        <v>13</v>
      </c>
      <c r="F620" s="90">
        <v>1</v>
      </c>
      <c r="G620" s="92">
        <v>7</v>
      </c>
      <c r="H620" s="93">
        <f>+F620*7+G620*0.5</f>
        <v>10.5</v>
      </c>
      <c r="I620" s="94"/>
      <c r="J620" s="95">
        <f t="shared" si="21"/>
        <v>0</v>
      </c>
      <c r="K620" s="96"/>
      <c r="L620" s="90"/>
      <c r="M620" s="90"/>
      <c r="N620" s="90"/>
      <c r="O620" s="90"/>
    </row>
    <row r="621" spans="1:15" x14ac:dyDescent="0.3">
      <c r="A621" s="97">
        <v>46129</v>
      </c>
      <c r="B621" s="90">
        <v>7976</v>
      </c>
      <c r="C621" s="90">
        <v>2</v>
      </c>
      <c r="D621" s="91" t="s">
        <v>2</v>
      </c>
      <c r="E621" s="90" t="s">
        <v>46</v>
      </c>
      <c r="F621" s="90">
        <v>19</v>
      </c>
      <c r="G621" s="92">
        <v>2</v>
      </c>
      <c r="H621" s="93">
        <f>+F621*5+G621*0.5</f>
        <v>96</v>
      </c>
      <c r="I621" s="94"/>
      <c r="J621" s="95">
        <f t="shared" si="21"/>
        <v>0</v>
      </c>
      <c r="K621" s="96"/>
      <c r="L621" s="90"/>
      <c r="M621" s="90"/>
      <c r="N621" s="90"/>
      <c r="O621" s="90"/>
    </row>
    <row r="622" spans="1:15" x14ac:dyDescent="0.3">
      <c r="A622" s="21">
        <v>46129</v>
      </c>
      <c r="B622">
        <v>7977</v>
      </c>
      <c r="C622">
        <v>1</v>
      </c>
      <c r="D622" t="s">
        <v>0</v>
      </c>
      <c r="E622" t="s">
        <v>14</v>
      </c>
      <c r="F622">
        <v>32</v>
      </c>
      <c r="G622" s="23">
        <v>3</v>
      </c>
      <c r="H622" s="24">
        <f t="shared" si="28"/>
        <v>193.5</v>
      </c>
      <c r="I622" s="25"/>
      <c r="J622" s="15">
        <f t="shared" si="21"/>
        <v>0</v>
      </c>
      <c r="K622" s="2"/>
    </row>
    <row r="623" spans="1:15" x14ac:dyDescent="0.3">
      <c r="A623" s="21">
        <v>46129</v>
      </c>
      <c r="B623">
        <v>7978</v>
      </c>
      <c r="C623">
        <v>1</v>
      </c>
      <c r="D623" t="s">
        <v>15</v>
      </c>
      <c r="E623" t="s">
        <v>14</v>
      </c>
      <c r="F623">
        <f>33+33+35+33+33</f>
        <v>167</v>
      </c>
      <c r="G623" s="23">
        <f>9+8+8+7+2</f>
        <v>34</v>
      </c>
      <c r="H623" s="24">
        <f t="shared" si="28"/>
        <v>1019</v>
      </c>
      <c r="I623" s="25"/>
      <c r="J623" s="15">
        <f t="shared" si="21"/>
        <v>0</v>
      </c>
      <c r="K623" s="2"/>
    </row>
    <row r="624" spans="1:15" x14ac:dyDescent="0.3">
      <c r="A624" s="21">
        <v>46129</v>
      </c>
      <c r="B624">
        <v>7979</v>
      </c>
      <c r="C624">
        <v>1</v>
      </c>
      <c r="D624" t="s">
        <v>23</v>
      </c>
      <c r="E624" t="s">
        <v>14</v>
      </c>
      <c r="F624">
        <v>34</v>
      </c>
      <c r="G624" s="23">
        <v>0</v>
      </c>
      <c r="H624" s="24">
        <f t="shared" si="28"/>
        <v>204</v>
      </c>
      <c r="I624" s="25"/>
      <c r="J624" s="15">
        <f t="shared" si="21"/>
        <v>0</v>
      </c>
      <c r="K624" s="2"/>
    </row>
    <row r="625" spans="1:15" x14ac:dyDescent="0.3">
      <c r="A625" s="21">
        <v>46129</v>
      </c>
      <c r="B625">
        <v>7980</v>
      </c>
      <c r="C625">
        <v>1</v>
      </c>
      <c r="D625" t="s">
        <v>17</v>
      </c>
      <c r="E625" t="s">
        <v>14</v>
      </c>
      <c r="F625">
        <v>33</v>
      </c>
      <c r="G625" s="23">
        <v>6</v>
      </c>
      <c r="H625" s="24">
        <f t="shared" si="28"/>
        <v>201</v>
      </c>
      <c r="I625" s="25"/>
      <c r="J625" s="15">
        <f t="shared" si="21"/>
        <v>0</v>
      </c>
      <c r="K625" s="2"/>
    </row>
    <row r="626" spans="1:15" x14ac:dyDescent="0.3">
      <c r="A626" s="21">
        <v>46129</v>
      </c>
      <c r="B626">
        <v>7981</v>
      </c>
      <c r="C626">
        <v>1</v>
      </c>
      <c r="D626" t="s">
        <v>17</v>
      </c>
      <c r="E626" t="s">
        <v>1</v>
      </c>
      <c r="F626">
        <v>33</v>
      </c>
      <c r="G626" s="23">
        <v>6</v>
      </c>
      <c r="H626" s="24">
        <f t="shared" si="28"/>
        <v>201</v>
      </c>
      <c r="I626" s="25"/>
      <c r="J626" s="15">
        <f t="shared" si="21"/>
        <v>0</v>
      </c>
      <c r="K626" s="2"/>
    </row>
    <row r="627" spans="1:15" x14ac:dyDescent="0.3">
      <c r="A627" s="21">
        <v>46129</v>
      </c>
      <c r="B627">
        <v>7982</v>
      </c>
      <c r="C627">
        <v>1</v>
      </c>
      <c r="D627" t="s">
        <v>28</v>
      </c>
      <c r="E627" t="s">
        <v>1</v>
      </c>
      <c r="F627">
        <v>33</v>
      </c>
      <c r="G627" s="23">
        <v>5</v>
      </c>
      <c r="H627" s="24">
        <f t="shared" si="28"/>
        <v>200.5</v>
      </c>
      <c r="I627" s="25"/>
      <c r="J627" s="15">
        <f t="shared" si="21"/>
        <v>0</v>
      </c>
      <c r="K627" s="2"/>
    </row>
    <row r="628" spans="1:15" x14ac:dyDescent="0.3">
      <c r="A628" s="21">
        <v>46129</v>
      </c>
      <c r="B628">
        <v>7983</v>
      </c>
      <c r="C628">
        <v>1</v>
      </c>
      <c r="D628" s="22" t="s">
        <v>18</v>
      </c>
      <c r="E628" s="28" t="s">
        <v>20</v>
      </c>
      <c r="F628">
        <v>7</v>
      </c>
      <c r="G628" s="23">
        <v>0</v>
      </c>
      <c r="H628" s="24">
        <f>+F628*9+G628*0.5</f>
        <v>63</v>
      </c>
      <c r="I628" s="25"/>
      <c r="J628" s="15">
        <f t="shared" si="21"/>
        <v>0</v>
      </c>
      <c r="K628" s="2"/>
    </row>
    <row r="629" spans="1:15" x14ac:dyDescent="0.3">
      <c r="A629" s="4">
        <v>46129</v>
      </c>
      <c r="B629" s="1">
        <v>7984</v>
      </c>
      <c r="C629" s="1">
        <v>1</v>
      </c>
      <c r="D629" s="26" t="s">
        <v>18</v>
      </c>
      <c r="E629" s="55" t="s">
        <v>20</v>
      </c>
      <c r="F629" s="1">
        <f>22+21+22+21+18+19</f>
        <v>123</v>
      </c>
      <c r="G629" s="5">
        <f>2+2+6</f>
        <v>10</v>
      </c>
      <c r="H629" s="6">
        <f>+F629*9+G629*1</f>
        <v>1117</v>
      </c>
      <c r="I629" s="7"/>
      <c r="J629" s="8">
        <f t="shared" si="21"/>
        <v>0</v>
      </c>
      <c r="K629" s="9"/>
      <c r="L629" s="1"/>
      <c r="M629" s="1"/>
      <c r="N629" s="1"/>
      <c r="O629" s="1"/>
    </row>
    <row r="630" spans="1:15" x14ac:dyDescent="0.3">
      <c r="A630" s="35">
        <v>46130</v>
      </c>
      <c r="B630" s="36">
        <v>7985</v>
      </c>
      <c r="C630" s="36">
        <v>1</v>
      </c>
      <c r="D630" s="36" t="s">
        <v>21</v>
      </c>
      <c r="E630" s="36">
        <v>0</v>
      </c>
      <c r="F630" s="36">
        <v>0</v>
      </c>
      <c r="G630" s="37">
        <v>0</v>
      </c>
      <c r="H630" s="38">
        <f t="shared" si="28"/>
        <v>0</v>
      </c>
      <c r="I630" s="39"/>
      <c r="J630" s="15">
        <f t="shared" si="21"/>
        <v>0</v>
      </c>
      <c r="K630" s="40"/>
      <c r="L630" s="36"/>
      <c r="M630" s="36"/>
      <c r="N630" s="36"/>
      <c r="O630" s="36"/>
    </row>
    <row r="631" spans="1:15" x14ac:dyDescent="0.3">
      <c r="A631" s="21">
        <v>46130</v>
      </c>
      <c r="B631">
        <v>7986</v>
      </c>
      <c r="C631">
        <v>1</v>
      </c>
      <c r="D631" t="s">
        <v>22</v>
      </c>
      <c r="E631" t="s">
        <v>1</v>
      </c>
      <c r="F631">
        <f>35+33+33+33</f>
        <v>134</v>
      </c>
      <c r="G631" s="23">
        <f>7+8+9+10</f>
        <v>34</v>
      </c>
      <c r="H631" s="24">
        <f t="shared" si="28"/>
        <v>821</v>
      </c>
      <c r="I631" s="25"/>
      <c r="J631" s="15">
        <f t="shared" si="21"/>
        <v>0</v>
      </c>
      <c r="K631" s="2"/>
    </row>
    <row r="632" spans="1:15" x14ac:dyDescent="0.3">
      <c r="A632" s="21">
        <v>46130</v>
      </c>
      <c r="B632">
        <v>7987</v>
      </c>
      <c r="C632">
        <v>1</v>
      </c>
      <c r="D632" t="s">
        <v>15</v>
      </c>
      <c r="E632" t="s">
        <v>14</v>
      </c>
      <c r="F632">
        <v>67</v>
      </c>
      <c r="G632" s="23">
        <v>15</v>
      </c>
      <c r="H632" s="24">
        <f t="shared" si="28"/>
        <v>409.5</v>
      </c>
      <c r="I632" s="25"/>
      <c r="J632" s="15">
        <f t="shared" si="21"/>
        <v>0</v>
      </c>
      <c r="K632" s="2"/>
    </row>
    <row r="633" spans="1:15" x14ac:dyDescent="0.3">
      <c r="A633" s="21">
        <v>46130</v>
      </c>
      <c r="B633">
        <v>7988</v>
      </c>
      <c r="C633">
        <v>1</v>
      </c>
      <c r="D633" t="s">
        <v>23</v>
      </c>
      <c r="E633" t="s">
        <v>14</v>
      </c>
      <c r="F633">
        <v>99</v>
      </c>
      <c r="G633" s="23">
        <v>12</v>
      </c>
      <c r="H633" s="24">
        <f t="shared" si="28"/>
        <v>600</v>
      </c>
      <c r="I633" s="25"/>
      <c r="J633" s="15">
        <f t="shared" si="21"/>
        <v>0</v>
      </c>
      <c r="K633" s="2"/>
    </row>
    <row r="634" spans="1:15" x14ac:dyDescent="0.3">
      <c r="A634" s="21">
        <v>46130</v>
      </c>
      <c r="B634">
        <v>7989</v>
      </c>
      <c r="C634">
        <v>1</v>
      </c>
      <c r="D634" t="s">
        <v>17</v>
      </c>
      <c r="E634" t="s">
        <v>14</v>
      </c>
      <c r="F634">
        <v>66</v>
      </c>
      <c r="G634" s="23">
        <v>17</v>
      </c>
      <c r="H634" s="24">
        <f t="shared" si="28"/>
        <v>404.5</v>
      </c>
      <c r="I634" s="25"/>
      <c r="J634" s="15">
        <f t="shared" si="21"/>
        <v>0</v>
      </c>
      <c r="K634" s="2"/>
    </row>
    <row r="635" spans="1:15" x14ac:dyDescent="0.3">
      <c r="A635" s="4">
        <v>46130</v>
      </c>
      <c r="B635" s="1">
        <v>7990</v>
      </c>
      <c r="C635" s="1">
        <v>1</v>
      </c>
      <c r="D635" s="26" t="s">
        <v>7</v>
      </c>
      <c r="E635" s="1" t="s">
        <v>9</v>
      </c>
      <c r="F635" s="1">
        <v>88</v>
      </c>
      <c r="G635" s="5">
        <v>0</v>
      </c>
      <c r="H635" s="6">
        <f>+F635*7+G635*0.5</f>
        <v>616</v>
      </c>
      <c r="I635" s="7"/>
      <c r="J635" s="8">
        <f t="shared" si="21"/>
        <v>0</v>
      </c>
      <c r="K635" s="9"/>
      <c r="L635" s="1"/>
      <c r="M635" s="1"/>
      <c r="N635" s="1"/>
      <c r="O635" s="1"/>
    </row>
    <row r="636" spans="1:15" x14ac:dyDescent="0.3">
      <c r="A636" s="21">
        <v>46132</v>
      </c>
      <c r="B636">
        <v>7991</v>
      </c>
      <c r="C636">
        <v>1</v>
      </c>
      <c r="D636" s="22" t="s">
        <v>18</v>
      </c>
      <c r="E636" s="28" t="s">
        <v>20</v>
      </c>
      <c r="F636">
        <f>22+18+16</f>
        <v>56</v>
      </c>
      <c r="G636" s="23">
        <f>1+1+7</f>
        <v>9</v>
      </c>
      <c r="H636" s="24">
        <f>+F636*9+G636*1</f>
        <v>513</v>
      </c>
      <c r="I636" s="25"/>
      <c r="J636" s="15">
        <f t="shared" si="21"/>
        <v>0</v>
      </c>
      <c r="K636" s="2"/>
    </row>
    <row r="637" spans="1:15" x14ac:dyDescent="0.3">
      <c r="A637" s="21">
        <v>46132</v>
      </c>
      <c r="B637">
        <v>7991</v>
      </c>
      <c r="C637">
        <v>2</v>
      </c>
      <c r="D637" s="22" t="s">
        <v>18</v>
      </c>
      <c r="E637" s="28" t="s">
        <v>58</v>
      </c>
      <c r="F637">
        <f>20+16</f>
        <v>36</v>
      </c>
      <c r="G637" s="23">
        <v>8</v>
      </c>
      <c r="H637" s="24">
        <f>+F637*9+G637*1</f>
        <v>332</v>
      </c>
      <c r="I637" s="25"/>
      <c r="J637" s="15">
        <f t="shared" si="21"/>
        <v>0</v>
      </c>
      <c r="K637" s="2"/>
    </row>
    <row r="638" spans="1:15" x14ac:dyDescent="0.3">
      <c r="A638" s="21">
        <v>46132</v>
      </c>
      <c r="B638">
        <v>7992</v>
      </c>
      <c r="C638">
        <v>1</v>
      </c>
      <c r="D638" t="s">
        <v>22</v>
      </c>
      <c r="E638" t="s">
        <v>1</v>
      </c>
      <c r="F638">
        <v>33</v>
      </c>
      <c r="G638" s="23">
        <v>9</v>
      </c>
      <c r="H638" s="24">
        <f t="shared" si="28"/>
        <v>202.5</v>
      </c>
      <c r="I638" s="25"/>
      <c r="J638" s="15">
        <f t="shared" si="21"/>
        <v>0</v>
      </c>
      <c r="K638" s="2"/>
    </row>
    <row r="639" spans="1:15" x14ac:dyDescent="0.3">
      <c r="A639" s="21">
        <v>46132</v>
      </c>
      <c r="B639">
        <v>7993</v>
      </c>
      <c r="C639">
        <v>1</v>
      </c>
      <c r="D639" t="s">
        <v>17</v>
      </c>
      <c r="E639" t="s">
        <v>1</v>
      </c>
      <c r="F639">
        <v>33</v>
      </c>
      <c r="G639" s="23">
        <v>11</v>
      </c>
      <c r="H639" s="24">
        <f t="shared" si="28"/>
        <v>203.5</v>
      </c>
      <c r="I639" s="25"/>
      <c r="J639" s="15">
        <f t="shared" si="21"/>
        <v>0</v>
      </c>
      <c r="K639" s="2"/>
    </row>
    <row r="640" spans="1:15" x14ac:dyDescent="0.3">
      <c r="A640" s="21">
        <v>46132</v>
      </c>
      <c r="B640">
        <v>7994</v>
      </c>
      <c r="C640">
        <v>1</v>
      </c>
      <c r="D640" t="s">
        <v>17</v>
      </c>
      <c r="E640" t="s">
        <v>14</v>
      </c>
      <c r="F640">
        <f>33+34+28</f>
        <v>95</v>
      </c>
      <c r="G640" s="23">
        <f>5+2+11</f>
        <v>18</v>
      </c>
      <c r="H640" s="24">
        <f t="shared" si="28"/>
        <v>579</v>
      </c>
      <c r="I640" s="25"/>
      <c r="J640" s="15">
        <f t="shared" si="21"/>
        <v>0</v>
      </c>
      <c r="K640" s="2"/>
    </row>
    <row r="641" spans="1:15" x14ac:dyDescent="0.3">
      <c r="A641" s="4">
        <v>46132</v>
      </c>
      <c r="B641" s="1">
        <v>7995</v>
      </c>
      <c r="C641" s="1">
        <v>1</v>
      </c>
      <c r="D641" s="1" t="s">
        <v>28</v>
      </c>
      <c r="E641" s="1" t="s">
        <v>1</v>
      </c>
      <c r="F641" s="1">
        <v>32</v>
      </c>
      <c r="G641" s="5">
        <v>8</v>
      </c>
      <c r="H641" s="6">
        <f t="shared" si="28"/>
        <v>196</v>
      </c>
      <c r="I641" s="7"/>
      <c r="J641" s="8">
        <f t="shared" si="21"/>
        <v>0</v>
      </c>
      <c r="K641" s="9"/>
      <c r="L641" s="1"/>
      <c r="M641" s="1"/>
      <c r="N641" s="1"/>
      <c r="O641" s="1"/>
    </row>
    <row r="642" spans="1:15" x14ac:dyDescent="0.3">
      <c r="A642" s="21">
        <v>46133</v>
      </c>
      <c r="B642">
        <v>7996</v>
      </c>
      <c r="C642">
        <v>1</v>
      </c>
      <c r="D642" t="s">
        <v>15</v>
      </c>
      <c r="E642" t="s">
        <v>14</v>
      </c>
      <c r="F642">
        <f>33+33+32</f>
        <v>98</v>
      </c>
      <c r="G642" s="23">
        <f>1+2+4</f>
        <v>7</v>
      </c>
      <c r="H642" s="24">
        <f t="shared" si="28"/>
        <v>591.5</v>
      </c>
      <c r="I642" s="25"/>
      <c r="J642" s="15">
        <f t="shared" si="21"/>
        <v>0</v>
      </c>
      <c r="K642" s="2"/>
    </row>
    <row r="643" spans="1:15" x14ac:dyDescent="0.3">
      <c r="A643" s="21">
        <v>46133</v>
      </c>
      <c r="B643">
        <v>7997</v>
      </c>
      <c r="C643">
        <v>1</v>
      </c>
      <c r="D643" t="s">
        <v>16</v>
      </c>
      <c r="E643" t="s">
        <v>14</v>
      </c>
      <c r="F643">
        <f>35+31+33+32+33</f>
        <v>164</v>
      </c>
      <c r="G643" s="23">
        <f>7+10+6+6+5</f>
        <v>34</v>
      </c>
      <c r="H643" s="24">
        <f t="shared" si="28"/>
        <v>1001</v>
      </c>
      <c r="I643" s="25"/>
      <c r="J643" s="15">
        <f t="shared" si="21"/>
        <v>0</v>
      </c>
      <c r="K643" s="2"/>
    </row>
    <row r="644" spans="1:15" x14ac:dyDescent="0.3">
      <c r="A644" s="21">
        <v>46133</v>
      </c>
      <c r="B644">
        <v>7998</v>
      </c>
      <c r="C644">
        <v>1</v>
      </c>
      <c r="D644" t="s">
        <v>29</v>
      </c>
      <c r="E644" t="s">
        <v>14</v>
      </c>
      <c r="F644">
        <f>34+33</f>
        <v>67</v>
      </c>
      <c r="G644" s="23">
        <v>5</v>
      </c>
      <c r="H644" s="24">
        <f t="shared" si="28"/>
        <v>404.5</v>
      </c>
      <c r="I644" s="25"/>
      <c r="J644" s="15">
        <f t="shared" si="21"/>
        <v>0</v>
      </c>
      <c r="K644" s="2"/>
    </row>
    <row r="645" spans="1:15" x14ac:dyDescent="0.3">
      <c r="A645" s="21">
        <v>46133</v>
      </c>
      <c r="B645">
        <v>7999</v>
      </c>
      <c r="C645">
        <v>1</v>
      </c>
      <c r="D645" s="22" t="s">
        <v>7</v>
      </c>
      <c r="E645" t="s">
        <v>9</v>
      </c>
      <c r="F645">
        <f>30+29+29+29+29</f>
        <v>146</v>
      </c>
      <c r="G645" s="23">
        <v>0</v>
      </c>
      <c r="H645" s="24">
        <f>+F645*7+G645*0.5</f>
        <v>1022</v>
      </c>
      <c r="I645" s="25"/>
      <c r="J645" s="15">
        <f t="shared" si="21"/>
        <v>0</v>
      </c>
      <c r="K645" s="2"/>
    </row>
    <row r="646" spans="1:15" x14ac:dyDescent="0.3">
      <c r="A646" s="97">
        <v>46133</v>
      </c>
      <c r="B646" s="90">
        <v>8000</v>
      </c>
      <c r="C646" s="90">
        <v>1</v>
      </c>
      <c r="D646" s="90" t="s">
        <v>2</v>
      </c>
      <c r="E646" s="90" t="s">
        <v>57</v>
      </c>
      <c r="F646" s="90">
        <v>26</v>
      </c>
      <c r="G646" s="92">
        <v>0</v>
      </c>
      <c r="H646" s="93">
        <f>+F646*5+G646*0.5</f>
        <v>130</v>
      </c>
      <c r="I646" s="94"/>
      <c r="J646" s="95">
        <f t="shared" si="21"/>
        <v>0</v>
      </c>
      <c r="K646" s="96"/>
      <c r="L646" s="90"/>
      <c r="M646" s="90"/>
      <c r="N646" s="90"/>
      <c r="O646" s="90"/>
    </row>
    <row r="647" spans="1:15" x14ac:dyDescent="0.3">
      <c r="A647" s="97">
        <v>46133</v>
      </c>
      <c r="B647" s="90">
        <v>8000</v>
      </c>
      <c r="C647" s="90">
        <v>2</v>
      </c>
      <c r="D647" s="90" t="s">
        <v>2</v>
      </c>
      <c r="E647" t="s">
        <v>50</v>
      </c>
      <c r="F647" s="90">
        <v>24</v>
      </c>
      <c r="G647" s="92">
        <v>0</v>
      </c>
      <c r="H647" s="93">
        <f>+F647*5+G647*0.5</f>
        <v>120</v>
      </c>
      <c r="I647" s="94"/>
      <c r="J647" s="95">
        <f t="shared" si="21"/>
        <v>0</v>
      </c>
      <c r="K647" s="96"/>
      <c r="L647" s="90"/>
      <c r="M647" s="90"/>
      <c r="N647" s="90"/>
      <c r="O647" s="90"/>
    </row>
    <row r="648" spans="1:15" x14ac:dyDescent="0.3">
      <c r="A648" s="97">
        <v>46133</v>
      </c>
      <c r="B648" s="90">
        <v>8001</v>
      </c>
      <c r="C648" s="90">
        <v>1</v>
      </c>
      <c r="D648" s="90" t="s">
        <v>2</v>
      </c>
      <c r="E648" s="90" t="s">
        <v>59</v>
      </c>
      <c r="F648" s="90">
        <v>42</v>
      </c>
      <c r="G648" s="92">
        <v>0</v>
      </c>
      <c r="H648" s="93">
        <f>+F648*9+G648*1</f>
        <v>378</v>
      </c>
      <c r="I648" s="94"/>
      <c r="J648" s="95">
        <f t="shared" si="21"/>
        <v>0</v>
      </c>
      <c r="K648" s="96"/>
      <c r="L648" s="90"/>
      <c r="M648" s="90"/>
      <c r="N648" s="90"/>
      <c r="O648" s="90"/>
    </row>
    <row r="649" spans="1:15" x14ac:dyDescent="0.3">
      <c r="A649" s="98">
        <v>46133</v>
      </c>
      <c r="B649" s="99">
        <v>8001</v>
      </c>
      <c r="C649" s="99">
        <v>2</v>
      </c>
      <c r="D649" s="99" t="s">
        <v>2</v>
      </c>
      <c r="E649" s="99" t="s">
        <v>59</v>
      </c>
      <c r="F649" s="99">
        <v>28</v>
      </c>
      <c r="G649" s="101">
        <v>2</v>
      </c>
      <c r="H649" s="102">
        <f>+F649*6+G649*1</f>
        <v>170</v>
      </c>
      <c r="I649" s="103"/>
      <c r="J649" s="104">
        <f t="shared" si="21"/>
        <v>0</v>
      </c>
      <c r="K649" s="105"/>
      <c r="L649" s="99"/>
      <c r="M649" s="99"/>
      <c r="N649" s="99"/>
      <c r="O649" s="99"/>
    </row>
    <row r="650" spans="1:15" x14ac:dyDescent="0.3">
      <c r="A650" s="21">
        <v>46134</v>
      </c>
      <c r="B650">
        <v>8002</v>
      </c>
      <c r="C650">
        <v>1</v>
      </c>
      <c r="D650" s="22" t="s">
        <v>18</v>
      </c>
      <c r="E650" s="28" t="s">
        <v>20</v>
      </c>
      <c r="F650">
        <f>22+17+22+22+22+18</f>
        <v>123</v>
      </c>
      <c r="G650" s="23">
        <f>2+1+2+6</f>
        <v>11</v>
      </c>
      <c r="H650" s="24">
        <f>+F650*9+G650*1</f>
        <v>1118</v>
      </c>
      <c r="I650" s="25"/>
      <c r="J650" s="15">
        <f t="shared" si="21"/>
        <v>0</v>
      </c>
      <c r="K650" s="2"/>
    </row>
    <row r="651" spans="1:15" x14ac:dyDescent="0.3">
      <c r="A651" s="21">
        <v>46134</v>
      </c>
      <c r="B651">
        <v>8002</v>
      </c>
      <c r="C651">
        <v>2</v>
      </c>
      <c r="D651" s="22" t="s">
        <v>18</v>
      </c>
      <c r="E651" s="28" t="s">
        <v>20</v>
      </c>
      <c r="F651">
        <f>33+33+33+33+32</f>
        <v>164</v>
      </c>
      <c r="G651" s="23">
        <v>1</v>
      </c>
      <c r="H651" s="24">
        <f>+F651*6+G651*1</f>
        <v>985</v>
      </c>
      <c r="I651" s="25"/>
      <c r="J651" s="15">
        <f t="shared" si="21"/>
        <v>0</v>
      </c>
      <c r="K651" s="2"/>
    </row>
    <row r="652" spans="1:15" x14ac:dyDescent="0.3">
      <c r="A652" s="21">
        <v>46134</v>
      </c>
      <c r="B652">
        <v>8003</v>
      </c>
      <c r="C652">
        <v>1</v>
      </c>
      <c r="D652" s="22" t="s">
        <v>7</v>
      </c>
      <c r="E652" t="s">
        <v>8</v>
      </c>
      <c r="F652">
        <f>43+43+43+41+40+40+37+39+39</f>
        <v>365</v>
      </c>
      <c r="G652" s="23">
        <v>0</v>
      </c>
      <c r="H652" s="24">
        <f>+F652*5+G652*0.5</f>
        <v>1825</v>
      </c>
      <c r="I652" s="25"/>
      <c r="J652" s="15">
        <f t="shared" si="21"/>
        <v>0</v>
      </c>
      <c r="K652" s="2"/>
    </row>
    <row r="653" spans="1:15" x14ac:dyDescent="0.3">
      <c r="A653" s="21">
        <v>46134</v>
      </c>
      <c r="B653">
        <v>8003</v>
      </c>
      <c r="C653">
        <v>2</v>
      </c>
      <c r="D653" s="22" t="s">
        <v>7</v>
      </c>
      <c r="E653" t="s">
        <v>9</v>
      </c>
      <c r="F653">
        <v>30</v>
      </c>
      <c r="G653" s="23">
        <v>0</v>
      </c>
      <c r="H653" s="24">
        <f>+F653*7+G653*0.5</f>
        <v>210</v>
      </c>
      <c r="I653" s="25"/>
      <c r="J653" s="15">
        <f t="shared" si="21"/>
        <v>0</v>
      </c>
      <c r="K653" s="2"/>
    </row>
    <row r="654" spans="1:15" x14ac:dyDescent="0.3">
      <c r="A654" s="4">
        <v>46134</v>
      </c>
      <c r="B654" s="1">
        <v>8004</v>
      </c>
      <c r="C654" s="1">
        <v>1</v>
      </c>
      <c r="D654" s="26" t="s">
        <v>18</v>
      </c>
      <c r="E654" s="1" t="s">
        <v>19</v>
      </c>
      <c r="F654" s="1">
        <v>6</v>
      </c>
      <c r="G654" s="5">
        <v>0</v>
      </c>
      <c r="H654" s="6">
        <f t="shared" ref="H654:H710" si="29">+F654*6+G654*0.5</f>
        <v>36</v>
      </c>
      <c r="I654" s="7"/>
      <c r="J654" s="8">
        <f t="shared" si="21"/>
        <v>0</v>
      </c>
      <c r="K654" s="9"/>
      <c r="L654" s="1"/>
      <c r="M654" s="1"/>
      <c r="N654" s="1"/>
      <c r="O654" s="1"/>
    </row>
    <row r="655" spans="1:15" x14ac:dyDescent="0.3">
      <c r="A655" s="21">
        <v>46135</v>
      </c>
      <c r="B655">
        <v>8005</v>
      </c>
      <c r="C655">
        <v>1</v>
      </c>
      <c r="D655" t="s">
        <v>35</v>
      </c>
      <c r="E655" s="28" t="s">
        <v>20</v>
      </c>
      <c r="F655">
        <f>33+33+32</f>
        <v>98</v>
      </c>
      <c r="G655" s="23">
        <f>2</f>
        <v>2</v>
      </c>
      <c r="H655" s="24">
        <f>+F655*6+G655*1</f>
        <v>590</v>
      </c>
      <c r="I655" s="25"/>
      <c r="J655" s="15">
        <f t="shared" si="21"/>
        <v>0</v>
      </c>
      <c r="K655" s="2"/>
    </row>
    <row r="656" spans="1:15" x14ac:dyDescent="0.3">
      <c r="A656" s="21">
        <v>46135</v>
      </c>
      <c r="B656">
        <v>8005</v>
      </c>
      <c r="C656">
        <v>1</v>
      </c>
      <c r="D656" t="s">
        <v>35</v>
      </c>
      <c r="E656" s="28" t="s">
        <v>20</v>
      </c>
      <c r="F656">
        <v>18</v>
      </c>
      <c r="G656" s="23">
        <v>5</v>
      </c>
      <c r="H656" s="24">
        <f>+F656*9+G656*1</f>
        <v>167</v>
      </c>
      <c r="I656" s="25"/>
      <c r="J656" s="15">
        <f t="shared" si="21"/>
        <v>0</v>
      </c>
      <c r="K656" s="2"/>
    </row>
    <row r="657" spans="1:15" x14ac:dyDescent="0.3">
      <c r="A657" s="21">
        <v>46135</v>
      </c>
      <c r="B657">
        <v>8006</v>
      </c>
      <c r="C657">
        <v>1</v>
      </c>
      <c r="D657" t="s">
        <v>0</v>
      </c>
      <c r="E657" t="s">
        <v>14</v>
      </c>
      <c r="F657">
        <v>99</v>
      </c>
      <c r="G657" s="23">
        <v>19</v>
      </c>
      <c r="H657" s="24">
        <f t="shared" si="29"/>
        <v>603.5</v>
      </c>
      <c r="I657" s="25"/>
      <c r="J657" s="15">
        <f t="shared" si="21"/>
        <v>0</v>
      </c>
      <c r="K657" s="2"/>
    </row>
    <row r="658" spans="1:15" x14ac:dyDescent="0.3">
      <c r="A658" s="21">
        <v>46135</v>
      </c>
      <c r="B658">
        <v>8007</v>
      </c>
      <c r="C658">
        <v>1</v>
      </c>
      <c r="D658" s="22" t="s">
        <v>7</v>
      </c>
      <c r="E658" t="s">
        <v>8</v>
      </c>
      <c r="F658">
        <v>123</v>
      </c>
      <c r="G658" s="23">
        <v>0</v>
      </c>
      <c r="H658" s="24">
        <f>+F658*5+G658*0.5</f>
        <v>615</v>
      </c>
      <c r="I658" s="25"/>
      <c r="J658" s="15">
        <f t="shared" si="21"/>
        <v>0</v>
      </c>
      <c r="K658" s="2"/>
    </row>
    <row r="659" spans="1:15" x14ac:dyDescent="0.3">
      <c r="A659" s="21">
        <v>46135</v>
      </c>
      <c r="B659">
        <v>8007</v>
      </c>
      <c r="C659">
        <v>2</v>
      </c>
      <c r="D659" s="22" t="s">
        <v>7</v>
      </c>
      <c r="E659" t="s">
        <v>9</v>
      </c>
      <c r="F659">
        <v>57</v>
      </c>
      <c r="G659" s="23">
        <v>0</v>
      </c>
      <c r="H659" s="24">
        <f>+F659*7+G659*0.5</f>
        <v>399</v>
      </c>
      <c r="I659" s="25"/>
      <c r="J659" s="15">
        <f t="shared" si="21"/>
        <v>0</v>
      </c>
      <c r="K659" s="2"/>
    </row>
    <row r="660" spans="1:15" x14ac:dyDescent="0.3">
      <c r="A660" s="97">
        <v>46135</v>
      </c>
      <c r="B660" s="90">
        <v>8008</v>
      </c>
      <c r="C660" s="90">
        <v>1</v>
      </c>
      <c r="D660" s="91" t="s">
        <v>2</v>
      </c>
      <c r="E660" s="90" t="s">
        <v>46</v>
      </c>
      <c r="F660" s="90">
        <v>5</v>
      </c>
      <c r="G660" s="92">
        <v>0</v>
      </c>
      <c r="H660" s="93">
        <f t="shared" ref="H660" si="30">+F660*5+G660*0.5</f>
        <v>25</v>
      </c>
      <c r="I660" s="94"/>
      <c r="J660" s="95">
        <f t="shared" si="21"/>
        <v>0</v>
      </c>
      <c r="K660" s="96"/>
      <c r="L660" s="90"/>
      <c r="M660" s="90"/>
      <c r="N660" s="90"/>
      <c r="O660" s="90"/>
    </row>
    <row r="661" spans="1:15" x14ac:dyDescent="0.3">
      <c r="A661" s="21">
        <v>46135</v>
      </c>
      <c r="B661">
        <v>8009</v>
      </c>
      <c r="C661">
        <v>1</v>
      </c>
      <c r="D661" t="s">
        <v>16</v>
      </c>
      <c r="E661" t="s">
        <v>14</v>
      </c>
      <c r="F661">
        <f>33+35+33</f>
        <v>101</v>
      </c>
      <c r="G661" s="23">
        <f>7+8+1</f>
        <v>16</v>
      </c>
      <c r="H661" s="24">
        <f t="shared" si="29"/>
        <v>614</v>
      </c>
      <c r="I661" s="25"/>
      <c r="J661" s="15">
        <f t="shared" si="21"/>
        <v>0</v>
      </c>
      <c r="K661" s="2"/>
    </row>
    <row r="662" spans="1:15" x14ac:dyDescent="0.3">
      <c r="A662" s="21">
        <v>46135</v>
      </c>
      <c r="B662">
        <v>8010</v>
      </c>
      <c r="C662">
        <v>1</v>
      </c>
      <c r="D662" t="s">
        <v>16</v>
      </c>
      <c r="E662" t="s">
        <v>1</v>
      </c>
      <c r="F662">
        <v>33</v>
      </c>
      <c r="G662" s="23">
        <v>8</v>
      </c>
      <c r="H662" s="24">
        <f t="shared" si="29"/>
        <v>202</v>
      </c>
      <c r="I662" s="25"/>
      <c r="J662" s="15">
        <f t="shared" si="21"/>
        <v>0</v>
      </c>
      <c r="K662" s="2"/>
    </row>
    <row r="663" spans="1:15" x14ac:dyDescent="0.3">
      <c r="A663" s="21">
        <v>46135</v>
      </c>
      <c r="B663">
        <v>8011</v>
      </c>
      <c r="C663">
        <v>1</v>
      </c>
      <c r="D663" t="s">
        <v>15</v>
      </c>
      <c r="E663" t="s">
        <v>14</v>
      </c>
      <c r="F663">
        <f>32+32+33+33</f>
        <v>130</v>
      </c>
      <c r="G663" s="23">
        <f>11+4+7+6</f>
        <v>28</v>
      </c>
      <c r="H663" s="24">
        <f t="shared" si="29"/>
        <v>794</v>
      </c>
      <c r="I663" s="25"/>
      <c r="J663" s="15">
        <f t="shared" si="21"/>
        <v>0</v>
      </c>
      <c r="K663" s="2"/>
    </row>
    <row r="664" spans="1:15" x14ac:dyDescent="0.3">
      <c r="A664" s="21">
        <v>46135</v>
      </c>
      <c r="B664">
        <v>8012</v>
      </c>
      <c r="C664">
        <v>1</v>
      </c>
      <c r="D664" t="s">
        <v>17</v>
      </c>
      <c r="E664" t="s">
        <v>14</v>
      </c>
      <c r="F664">
        <v>33</v>
      </c>
      <c r="G664" s="23">
        <v>11</v>
      </c>
      <c r="H664" s="24">
        <f t="shared" si="29"/>
        <v>203.5</v>
      </c>
      <c r="I664" s="25"/>
      <c r="J664" s="15">
        <f t="shared" si="21"/>
        <v>0</v>
      </c>
      <c r="K664" s="2"/>
    </row>
    <row r="665" spans="1:15" x14ac:dyDescent="0.3">
      <c r="A665" s="21">
        <v>46135</v>
      </c>
      <c r="B665">
        <v>8013</v>
      </c>
      <c r="C665">
        <v>1</v>
      </c>
      <c r="D665" t="s">
        <v>29</v>
      </c>
      <c r="E665" t="s">
        <v>14</v>
      </c>
      <c r="F665">
        <v>33</v>
      </c>
      <c r="G665" s="23">
        <v>6</v>
      </c>
      <c r="H665" s="24">
        <f t="shared" si="29"/>
        <v>201</v>
      </c>
      <c r="I665" s="25"/>
      <c r="J665" s="15">
        <f t="shared" si="21"/>
        <v>0</v>
      </c>
      <c r="K665" s="2"/>
    </row>
    <row r="666" spans="1:15" x14ac:dyDescent="0.3">
      <c r="A666" s="97">
        <v>46135</v>
      </c>
      <c r="B666" s="90">
        <v>8014</v>
      </c>
      <c r="C666" s="90">
        <v>1</v>
      </c>
      <c r="D666" s="91" t="s">
        <v>60</v>
      </c>
      <c r="E666" s="90" t="s">
        <v>14</v>
      </c>
      <c r="F666" s="90">
        <f>33+33+35+35+33+33+33+33+28+33</f>
        <v>329</v>
      </c>
      <c r="G666" s="92">
        <f>8+10+9+5+10+6+7</f>
        <v>55</v>
      </c>
      <c r="H666" s="93">
        <f t="shared" si="29"/>
        <v>2001.5</v>
      </c>
      <c r="I666" s="94"/>
      <c r="J666" s="95">
        <f t="shared" si="21"/>
        <v>0</v>
      </c>
      <c r="K666" s="96"/>
      <c r="L666" s="90"/>
      <c r="M666" s="90"/>
      <c r="N666" s="90"/>
      <c r="O666" s="90"/>
    </row>
    <row r="667" spans="1:15" x14ac:dyDescent="0.3">
      <c r="A667" s="4">
        <v>46135</v>
      </c>
      <c r="B667" s="1">
        <v>8015</v>
      </c>
      <c r="C667" s="1">
        <v>1</v>
      </c>
      <c r="D667" s="26" t="s">
        <v>18</v>
      </c>
      <c r="E667" s="55" t="s">
        <v>20</v>
      </c>
      <c r="F667" s="1">
        <f>21+22+21</f>
        <v>64</v>
      </c>
      <c r="G667" s="5">
        <f>2+7</f>
        <v>9</v>
      </c>
      <c r="H667" s="6">
        <f>+F667*9+G667*1</f>
        <v>585</v>
      </c>
      <c r="I667" s="7"/>
      <c r="J667" s="8">
        <f t="shared" si="21"/>
        <v>0</v>
      </c>
      <c r="K667" s="9"/>
      <c r="L667" s="1"/>
      <c r="M667" s="1"/>
      <c r="N667" s="1"/>
      <c r="O667" s="1"/>
    </row>
    <row r="668" spans="1:15" x14ac:dyDescent="0.3">
      <c r="A668" s="21">
        <v>46136</v>
      </c>
      <c r="B668">
        <v>8016</v>
      </c>
      <c r="C668">
        <v>1</v>
      </c>
      <c r="D668" s="22" t="s">
        <v>7</v>
      </c>
      <c r="E668" t="s">
        <v>8</v>
      </c>
      <c r="F668">
        <v>83</v>
      </c>
      <c r="G668" s="23">
        <v>0</v>
      </c>
      <c r="H668" s="24">
        <f>+F668*5+G668*0.5</f>
        <v>415</v>
      </c>
      <c r="I668" s="25"/>
      <c r="J668" s="15">
        <f t="shared" si="21"/>
        <v>0</v>
      </c>
      <c r="K668" s="2"/>
    </row>
    <row r="669" spans="1:15" x14ac:dyDescent="0.3">
      <c r="A669" s="21">
        <v>46136</v>
      </c>
      <c r="B669">
        <v>8016</v>
      </c>
      <c r="C669">
        <v>2</v>
      </c>
      <c r="D669" s="22" t="s">
        <v>7</v>
      </c>
      <c r="E669" t="s">
        <v>24</v>
      </c>
      <c r="F669">
        <v>39</v>
      </c>
      <c r="G669" s="23">
        <v>0</v>
      </c>
      <c r="H669" s="24">
        <f>+F669*5+G669*0.5</f>
        <v>195</v>
      </c>
      <c r="I669" s="25"/>
      <c r="J669" s="15">
        <f t="shared" si="21"/>
        <v>0</v>
      </c>
      <c r="K669" s="2"/>
    </row>
    <row r="670" spans="1:15" x14ac:dyDescent="0.3">
      <c r="A670" s="97">
        <v>46136</v>
      </c>
      <c r="B670" s="90">
        <v>8017</v>
      </c>
      <c r="C670" s="90">
        <v>1</v>
      </c>
      <c r="D670" s="91" t="s">
        <v>60</v>
      </c>
      <c r="E670" s="90" t="s">
        <v>1</v>
      </c>
      <c r="F670" s="90">
        <f>34+33+33+33+32+33</f>
        <v>198</v>
      </c>
      <c r="G670" s="92">
        <f>9+10+11+10+9</f>
        <v>49</v>
      </c>
      <c r="H670" s="93">
        <f t="shared" si="29"/>
        <v>1212.5</v>
      </c>
      <c r="I670" s="94"/>
      <c r="J670" s="95">
        <f t="shared" si="21"/>
        <v>0</v>
      </c>
      <c r="K670" s="96"/>
      <c r="L670" s="90"/>
      <c r="M670" s="90"/>
      <c r="N670" s="90"/>
      <c r="O670" s="90"/>
    </row>
    <row r="671" spans="1:15" x14ac:dyDescent="0.3">
      <c r="A671" s="21">
        <v>46136</v>
      </c>
      <c r="B671">
        <v>8018</v>
      </c>
      <c r="C671">
        <v>1</v>
      </c>
      <c r="D671" t="s">
        <v>0</v>
      </c>
      <c r="E671" t="s">
        <v>14</v>
      </c>
      <c r="F671">
        <f>32+35</f>
        <v>67</v>
      </c>
      <c r="G671" s="23">
        <v>17</v>
      </c>
      <c r="H671" s="24">
        <f t="shared" si="29"/>
        <v>410.5</v>
      </c>
      <c r="I671" s="25"/>
      <c r="J671" s="15">
        <f t="shared" si="21"/>
        <v>0</v>
      </c>
      <c r="K671" s="2"/>
    </row>
    <row r="672" spans="1:15" x14ac:dyDescent="0.3">
      <c r="A672" s="4">
        <v>46136</v>
      </c>
      <c r="B672" s="1">
        <v>8019</v>
      </c>
      <c r="C672" s="1">
        <v>1</v>
      </c>
      <c r="D672" s="1" t="s">
        <v>22</v>
      </c>
      <c r="E672" s="1" t="s">
        <v>1</v>
      </c>
      <c r="F672" s="1">
        <f>34+32+33+33</f>
        <v>132</v>
      </c>
      <c r="G672" s="5">
        <v>27</v>
      </c>
      <c r="H672" s="6">
        <f t="shared" si="29"/>
        <v>805.5</v>
      </c>
      <c r="I672" s="7"/>
      <c r="J672" s="8">
        <f t="shared" si="21"/>
        <v>0</v>
      </c>
      <c r="K672" s="9"/>
      <c r="L672" s="1"/>
      <c r="M672" s="1"/>
      <c r="N672" s="1"/>
      <c r="O672" s="1"/>
    </row>
    <row r="673" spans="1:15" x14ac:dyDescent="0.3">
      <c r="A673" s="21">
        <v>46137</v>
      </c>
      <c r="B673">
        <v>8020</v>
      </c>
      <c r="C673">
        <v>1</v>
      </c>
      <c r="D673" t="s">
        <v>0</v>
      </c>
      <c r="E673" t="s">
        <v>14</v>
      </c>
      <c r="F673">
        <f>33+33</f>
        <v>66</v>
      </c>
      <c r="G673" s="23">
        <v>11</v>
      </c>
      <c r="H673" s="24">
        <f t="shared" si="29"/>
        <v>401.5</v>
      </c>
      <c r="I673" s="25"/>
      <c r="J673" s="15">
        <f t="shared" si="21"/>
        <v>0</v>
      </c>
      <c r="K673" s="2"/>
    </row>
    <row r="674" spans="1:15" x14ac:dyDescent="0.3">
      <c r="A674" s="21">
        <v>46137</v>
      </c>
      <c r="B674">
        <v>8021</v>
      </c>
      <c r="C674">
        <v>1</v>
      </c>
      <c r="D674" t="s">
        <v>17</v>
      </c>
      <c r="E674" t="s">
        <v>14</v>
      </c>
      <c r="F674">
        <v>132</v>
      </c>
      <c r="G674" s="23">
        <v>32</v>
      </c>
      <c r="H674" s="24">
        <f t="shared" si="29"/>
        <v>808</v>
      </c>
      <c r="I674" s="25"/>
      <c r="J674" s="15">
        <f t="shared" si="21"/>
        <v>0</v>
      </c>
      <c r="K674" s="2"/>
    </row>
    <row r="675" spans="1:15" x14ac:dyDescent="0.3">
      <c r="A675" s="21">
        <v>46137</v>
      </c>
      <c r="B675">
        <v>8022</v>
      </c>
      <c r="C675">
        <v>1</v>
      </c>
      <c r="D675" t="s">
        <v>17</v>
      </c>
      <c r="E675" t="s">
        <v>1</v>
      </c>
      <c r="F675">
        <v>33</v>
      </c>
      <c r="G675" s="23">
        <v>5</v>
      </c>
      <c r="H675" s="24">
        <f t="shared" si="29"/>
        <v>200.5</v>
      </c>
      <c r="I675" s="25"/>
      <c r="J675" s="15">
        <f t="shared" si="21"/>
        <v>0</v>
      </c>
      <c r="K675" s="2"/>
    </row>
    <row r="676" spans="1:15" x14ac:dyDescent="0.3">
      <c r="A676" s="21">
        <v>46137</v>
      </c>
      <c r="B676">
        <v>8023</v>
      </c>
      <c r="C676">
        <v>1</v>
      </c>
      <c r="D676" s="22" t="s">
        <v>7</v>
      </c>
      <c r="E676" t="s">
        <v>24</v>
      </c>
      <c r="F676">
        <v>42</v>
      </c>
      <c r="G676" s="23">
        <v>0</v>
      </c>
      <c r="H676" s="24">
        <f>+F676*5+G676*0.5</f>
        <v>210</v>
      </c>
      <c r="I676" s="25"/>
      <c r="J676" s="15">
        <f t="shared" si="21"/>
        <v>0</v>
      </c>
      <c r="K676" s="2"/>
    </row>
    <row r="677" spans="1:15" x14ac:dyDescent="0.3">
      <c r="A677" s="21">
        <v>46137</v>
      </c>
      <c r="B677">
        <v>8023</v>
      </c>
      <c r="C677">
        <v>2</v>
      </c>
      <c r="D677" s="22" t="s">
        <v>7</v>
      </c>
      <c r="E677" t="s">
        <v>8</v>
      </c>
      <c r="F677">
        <v>42</v>
      </c>
      <c r="G677" s="23">
        <v>0</v>
      </c>
      <c r="H677" s="24">
        <f t="shared" ref="H677" si="31">+F677*5+G677*0.5</f>
        <v>210</v>
      </c>
      <c r="I677" s="25"/>
      <c r="J677" s="15">
        <f t="shared" si="21"/>
        <v>0</v>
      </c>
      <c r="K677" s="2"/>
    </row>
    <row r="678" spans="1:15" x14ac:dyDescent="0.3">
      <c r="A678" s="4">
        <v>46137</v>
      </c>
      <c r="B678" s="1">
        <v>8023</v>
      </c>
      <c r="C678" s="1">
        <v>3</v>
      </c>
      <c r="D678" s="26" t="s">
        <v>7</v>
      </c>
      <c r="E678" s="1" t="s">
        <v>9</v>
      </c>
      <c r="F678" s="1">
        <v>27</v>
      </c>
      <c r="G678" s="5">
        <v>0</v>
      </c>
      <c r="H678" s="6">
        <f>+F678*7+G678*0.5</f>
        <v>189</v>
      </c>
      <c r="I678" s="7"/>
      <c r="J678" s="8">
        <f t="shared" si="21"/>
        <v>0</v>
      </c>
      <c r="K678" s="9"/>
      <c r="L678" s="1"/>
      <c r="M678" s="1"/>
      <c r="N678" s="1"/>
      <c r="O678" s="1"/>
    </row>
    <row r="679" spans="1:15" x14ac:dyDescent="0.3">
      <c r="A679" s="21">
        <v>46139</v>
      </c>
      <c r="B679">
        <v>8024</v>
      </c>
      <c r="C679">
        <v>1</v>
      </c>
      <c r="D679" t="s">
        <v>0</v>
      </c>
      <c r="E679" t="s">
        <v>14</v>
      </c>
      <c r="F679">
        <v>99</v>
      </c>
      <c r="G679" s="23">
        <v>25</v>
      </c>
      <c r="H679" s="24">
        <f t="shared" si="29"/>
        <v>606.5</v>
      </c>
      <c r="I679" s="25"/>
      <c r="J679" s="15">
        <f t="shared" si="21"/>
        <v>0</v>
      </c>
      <c r="K679" s="2"/>
    </row>
    <row r="680" spans="1:15" x14ac:dyDescent="0.3">
      <c r="A680" s="21">
        <v>46139</v>
      </c>
      <c r="B680">
        <v>8025</v>
      </c>
      <c r="C680">
        <v>1</v>
      </c>
      <c r="D680" t="s">
        <v>17</v>
      </c>
      <c r="E680" t="s">
        <v>14</v>
      </c>
      <c r="F680">
        <v>33</v>
      </c>
      <c r="G680" s="23">
        <v>6</v>
      </c>
      <c r="H680" s="24">
        <f t="shared" si="29"/>
        <v>201</v>
      </c>
      <c r="I680" s="25"/>
      <c r="J680" s="15">
        <f t="shared" si="21"/>
        <v>0</v>
      </c>
      <c r="K680" s="2"/>
    </row>
    <row r="681" spans="1:15" x14ac:dyDescent="0.3">
      <c r="A681" s="21">
        <v>46139</v>
      </c>
      <c r="B681">
        <v>8026</v>
      </c>
      <c r="C681">
        <v>1</v>
      </c>
      <c r="D681" t="s">
        <v>36</v>
      </c>
      <c r="E681" t="s">
        <v>14</v>
      </c>
      <c r="F681">
        <v>68</v>
      </c>
      <c r="G681" s="23">
        <v>8</v>
      </c>
      <c r="H681" s="24">
        <f t="shared" si="29"/>
        <v>412</v>
      </c>
      <c r="I681" s="25"/>
      <c r="J681" s="15">
        <f t="shared" si="21"/>
        <v>0</v>
      </c>
      <c r="K681" s="2"/>
    </row>
    <row r="682" spans="1:15" x14ac:dyDescent="0.3">
      <c r="A682" s="4">
        <v>46139</v>
      </c>
      <c r="B682" s="1">
        <v>8027</v>
      </c>
      <c r="C682" s="1">
        <v>1</v>
      </c>
      <c r="D682" s="1" t="s">
        <v>11</v>
      </c>
      <c r="E682" s="1" t="s">
        <v>12</v>
      </c>
      <c r="F682" s="1">
        <f>26+25+24</f>
        <v>75</v>
      </c>
      <c r="G682" s="5">
        <f>5+5</f>
        <v>10</v>
      </c>
      <c r="H682" s="6">
        <f>+F682*6+G682*1</f>
        <v>460</v>
      </c>
      <c r="I682" s="7"/>
      <c r="J682" s="8">
        <f t="shared" si="21"/>
        <v>0</v>
      </c>
      <c r="K682" s="9"/>
      <c r="L682" s="1"/>
      <c r="M682" s="1"/>
      <c r="N682" s="1"/>
      <c r="O682" s="1"/>
    </row>
    <row r="683" spans="1:15" x14ac:dyDescent="0.3">
      <c r="A683" s="21">
        <v>46140</v>
      </c>
      <c r="B683">
        <v>8028</v>
      </c>
      <c r="C683">
        <v>1</v>
      </c>
      <c r="D683" s="22" t="s">
        <v>18</v>
      </c>
      <c r="E683" s="28" t="s">
        <v>20</v>
      </c>
      <c r="F683">
        <v>42</v>
      </c>
      <c r="G683" s="23">
        <v>6</v>
      </c>
      <c r="H683" s="24">
        <f>+F683*9+G683*1</f>
        <v>384</v>
      </c>
      <c r="I683" s="25"/>
      <c r="J683" s="15">
        <f t="shared" si="21"/>
        <v>0</v>
      </c>
      <c r="K683" s="2"/>
    </row>
    <row r="684" spans="1:15" x14ac:dyDescent="0.3">
      <c r="A684" s="21">
        <v>46140</v>
      </c>
      <c r="B684">
        <v>8029</v>
      </c>
      <c r="C684">
        <v>1</v>
      </c>
      <c r="D684" t="s">
        <v>22</v>
      </c>
      <c r="E684" t="s">
        <v>33</v>
      </c>
      <c r="F684">
        <f>34+31+33+33+33</f>
        <v>164</v>
      </c>
      <c r="G684" s="23">
        <f>1+2+4+2</f>
        <v>9</v>
      </c>
      <c r="H684" s="24">
        <f t="shared" ref="H684" si="32">+F684*6+G684*1</f>
        <v>993</v>
      </c>
      <c r="I684" s="25"/>
      <c r="J684" s="15">
        <f t="shared" si="21"/>
        <v>0</v>
      </c>
      <c r="K684" s="2"/>
    </row>
    <row r="685" spans="1:15" x14ac:dyDescent="0.3">
      <c r="A685" s="4">
        <v>46140</v>
      </c>
      <c r="B685" s="1">
        <v>8030</v>
      </c>
      <c r="C685" s="1">
        <v>1</v>
      </c>
      <c r="D685" s="26" t="s">
        <v>18</v>
      </c>
      <c r="E685" s="55" t="s">
        <v>20</v>
      </c>
      <c r="F685" s="1">
        <f>19+22+22</f>
        <v>63</v>
      </c>
      <c r="G685" s="5">
        <f>5+2+1</f>
        <v>8</v>
      </c>
      <c r="H685" s="6">
        <f>+F685*9+G685*1</f>
        <v>575</v>
      </c>
      <c r="I685" s="7"/>
      <c r="J685" s="8">
        <f t="shared" si="21"/>
        <v>0</v>
      </c>
      <c r="K685" s="9"/>
      <c r="L685" s="1"/>
      <c r="M685" s="1"/>
      <c r="N685" s="1"/>
      <c r="O685" s="1"/>
    </row>
    <row r="686" spans="1:15" x14ac:dyDescent="0.3">
      <c r="A686" s="21">
        <v>46141</v>
      </c>
      <c r="B686">
        <v>8031</v>
      </c>
      <c r="C686">
        <v>1</v>
      </c>
      <c r="D686" s="22" t="s">
        <v>7</v>
      </c>
      <c r="E686" t="s">
        <v>24</v>
      </c>
      <c r="F686">
        <f>41+39+39+39+39+38+38+38</f>
        <v>311</v>
      </c>
      <c r="G686" s="23">
        <v>0</v>
      </c>
      <c r="H686" s="24">
        <f>+F686*5+G686*0.5</f>
        <v>1555</v>
      </c>
      <c r="I686" s="25"/>
      <c r="J686" s="15">
        <f t="shared" si="21"/>
        <v>0</v>
      </c>
      <c r="K686" s="2"/>
    </row>
    <row r="687" spans="1:15" x14ac:dyDescent="0.3">
      <c r="A687" s="21">
        <v>46141</v>
      </c>
      <c r="B687">
        <v>8031</v>
      </c>
      <c r="C687">
        <v>2</v>
      </c>
      <c r="D687" s="22" t="s">
        <v>7</v>
      </c>
      <c r="E687" t="s">
        <v>8</v>
      </c>
      <c r="F687">
        <v>38</v>
      </c>
      <c r="G687" s="23">
        <v>0</v>
      </c>
      <c r="H687" s="24">
        <f>+F687*5+G687*0.5</f>
        <v>190</v>
      </c>
      <c r="I687" s="25"/>
      <c r="J687" s="15">
        <f t="shared" si="21"/>
        <v>0</v>
      </c>
      <c r="K687" s="2"/>
    </row>
    <row r="688" spans="1:15" x14ac:dyDescent="0.3">
      <c r="A688" s="21">
        <v>46141</v>
      </c>
      <c r="B688">
        <v>8031</v>
      </c>
      <c r="C688">
        <v>3</v>
      </c>
      <c r="D688" s="22" t="s">
        <v>7</v>
      </c>
      <c r="E688" t="s">
        <v>9</v>
      </c>
      <c r="F688">
        <f>28+28</f>
        <v>56</v>
      </c>
      <c r="G688" s="23">
        <v>0</v>
      </c>
      <c r="H688" s="24">
        <f>+F688*7+G688*0.5</f>
        <v>392</v>
      </c>
      <c r="I688" s="25"/>
      <c r="J688" s="15">
        <f t="shared" si="21"/>
        <v>0</v>
      </c>
      <c r="K688" s="2"/>
    </row>
    <row r="689" spans="1:15" x14ac:dyDescent="0.3">
      <c r="A689" s="35">
        <v>46141</v>
      </c>
      <c r="B689" s="36">
        <v>8032</v>
      </c>
      <c r="C689" s="36">
        <v>1</v>
      </c>
      <c r="D689" s="36" t="s">
        <v>21</v>
      </c>
      <c r="E689" s="36">
        <v>0</v>
      </c>
      <c r="F689" s="36">
        <v>0</v>
      </c>
      <c r="G689" s="37">
        <v>0</v>
      </c>
      <c r="H689" s="38">
        <f t="shared" si="29"/>
        <v>0</v>
      </c>
      <c r="I689" s="39"/>
      <c r="J689" s="15">
        <f t="shared" si="21"/>
        <v>0</v>
      </c>
      <c r="K689" s="40"/>
      <c r="L689" s="36"/>
      <c r="M689" s="36"/>
      <c r="N689" s="36"/>
      <c r="O689" s="36"/>
    </row>
    <row r="690" spans="1:15" x14ac:dyDescent="0.3">
      <c r="A690" s="21">
        <v>46141</v>
      </c>
      <c r="B690">
        <v>8033</v>
      </c>
      <c r="C690">
        <v>1</v>
      </c>
      <c r="D690" t="s">
        <v>36</v>
      </c>
      <c r="E690" t="s">
        <v>14</v>
      </c>
      <c r="F690">
        <v>33</v>
      </c>
      <c r="G690" s="23">
        <v>0</v>
      </c>
      <c r="H690" s="24">
        <f t="shared" si="29"/>
        <v>198</v>
      </c>
      <c r="I690" s="25"/>
      <c r="J690" s="15">
        <f t="shared" si="21"/>
        <v>0</v>
      </c>
      <c r="K690" s="2"/>
    </row>
    <row r="691" spans="1:15" x14ac:dyDescent="0.3">
      <c r="A691" s="21">
        <v>46141</v>
      </c>
      <c r="B691">
        <v>8034</v>
      </c>
      <c r="C691">
        <v>1</v>
      </c>
      <c r="D691" t="s">
        <v>27</v>
      </c>
      <c r="E691" t="s">
        <v>14</v>
      </c>
      <c r="F691">
        <f>32+33+33</f>
        <v>98</v>
      </c>
      <c r="G691" s="23">
        <v>18</v>
      </c>
      <c r="H691" s="24">
        <f t="shared" si="29"/>
        <v>597</v>
      </c>
      <c r="I691" s="25"/>
      <c r="J691" s="15">
        <f t="shared" si="21"/>
        <v>0</v>
      </c>
      <c r="K691" s="2"/>
    </row>
    <row r="692" spans="1:15" x14ac:dyDescent="0.3">
      <c r="A692" s="21">
        <v>46141</v>
      </c>
      <c r="B692">
        <v>8035</v>
      </c>
      <c r="C692">
        <v>1</v>
      </c>
      <c r="D692" t="s">
        <v>48</v>
      </c>
      <c r="E692" t="s">
        <v>14</v>
      </c>
      <c r="F692">
        <v>32</v>
      </c>
      <c r="G692" s="23">
        <v>8</v>
      </c>
      <c r="H692" s="24">
        <f t="shared" si="29"/>
        <v>196</v>
      </c>
      <c r="I692" s="25"/>
      <c r="J692" s="15">
        <f t="shared" si="21"/>
        <v>0</v>
      </c>
      <c r="K692" s="2"/>
    </row>
    <row r="693" spans="1:15" x14ac:dyDescent="0.3">
      <c r="A693" s="21">
        <v>46141</v>
      </c>
      <c r="B693">
        <v>8036</v>
      </c>
      <c r="C693">
        <v>1</v>
      </c>
      <c r="D693" t="s">
        <v>0</v>
      </c>
      <c r="E693" t="s">
        <v>14</v>
      </c>
      <c r="F693">
        <v>33</v>
      </c>
      <c r="G693" s="23">
        <v>7</v>
      </c>
      <c r="H693" s="24">
        <f t="shared" si="29"/>
        <v>201.5</v>
      </c>
      <c r="I693" s="25"/>
      <c r="J693" s="15">
        <f t="shared" si="21"/>
        <v>0</v>
      </c>
      <c r="K693" s="2"/>
    </row>
    <row r="694" spans="1:15" x14ac:dyDescent="0.3">
      <c r="A694" s="21">
        <v>46141</v>
      </c>
      <c r="B694">
        <v>8037</v>
      </c>
      <c r="C694">
        <v>1</v>
      </c>
      <c r="D694" t="s">
        <v>29</v>
      </c>
      <c r="E694" t="s">
        <v>14</v>
      </c>
      <c r="F694">
        <v>32</v>
      </c>
      <c r="G694" s="23">
        <v>9</v>
      </c>
      <c r="H694" s="24">
        <f t="shared" si="29"/>
        <v>196.5</v>
      </c>
      <c r="I694" s="25"/>
      <c r="J694" s="15">
        <f t="shared" si="21"/>
        <v>0</v>
      </c>
      <c r="K694" s="2"/>
    </row>
    <row r="695" spans="1:15" x14ac:dyDescent="0.3">
      <c r="A695" s="4">
        <v>46141</v>
      </c>
      <c r="B695" s="1">
        <v>8038</v>
      </c>
      <c r="C695" s="1">
        <v>1</v>
      </c>
      <c r="D695" s="1" t="s">
        <v>25</v>
      </c>
      <c r="E695" s="1" t="s">
        <v>1</v>
      </c>
      <c r="F695" s="1">
        <f>17+17+16+17+33</f>
        <v>100</v>
      </c>
      <c r="G695" s="5">
        <v>22</v>
      </c>
      <c r="H695" s="6">
        <f t="shared" si="29"/>
        <v>611</v>
      </c>
      <c r="I695" s="7"/>
      <c r="J695" s="8">
        <f t="shared" si="21"/>
        <v>0</v>
      </c>
      <c r="K695" s="9"/>
      <c r="L695" s="1"/>
      <c r="M695" s="1"/>
      <c r="N695" s="1"/>
      <c r="O695" s="1"/>
    </row>
    <row r="696" spans="1:15" x14ac:dyDescent="0.3">
      <c r="A696" s="21">
        <v>46142</v>
      </c>
      <c r="B696">
        <v>8039</v>
      </c>
      <c r="C696">
        <v>1</v>
      </c>
      <c r="D696" s="22" t="s">
        <v>7</v>
      </c>
      <c r="E696" t="s">
        <v>8</v>
      </c>
      <c r="F696">
        <f>42+42+42+42</f>
        <v>168</v>
      </c>
      <c r="G696" s="23">
        <v>0</v>
      </c>
      <c r="H696" s="24">
        <f>+F696*5+G696*0.5</f>
        <v>840</v>
      </c>
      <c r="I696" s="25"/>
      <c r="J696" s="15">
        <f t="shared" si="21"/>
        <v>0</v>
      </c>
      <c r="K696" s="2"/>
    </row>
    <row r="697" spans="1:15" x14ac:dyDescent="0.3">
      <c r="A697" s="21">
        <v>46142</v>
      </c>
      <c r="B697">
        <v>8040</v>
      </c>
      <c r="C697">
        <v>1</v>
      </c>
      <c r="D697" s="22" t="s">
        <v>18</v>
      </c>
      <c r="E697" s="28" t="s">
        <v>20</v>
      </c>
      <c r="F697">
        <v>22</v>
      </c>
      <c r="G697" s="23">
        <v>0</v>
      </c>
      <c r="H697" s="24">
        <f>+F697*9+G697*1</f>
        <v>198</v>
      </c>
      <c r="I697" s="25"/>
      <c r="J697" s="15">
        <f t="shared" si="21"/>
        <v>0</v>
      </c>
      <c r="K697" s="2"/>
    </row>
    <row r="698" spans="1:15" x14ac:dyDescent="0.3">
      <c r="A698" s="21">
        <v>46142</v>
      </c>
      <c r="B698">
        <v>8041</v>
      </c>
      <c r="C698">
        <v>1</v>
      </c>
      <c r="D698" t="s">
        <v>39</v>
      </c>
      <c r="E698" t="s">
        <v>1</v>
      </c>
      <c r="F698">
        <f>33+33+28</f>
        <v>94</v>
      </c>
      <c r="G698" s="23">
        <f>9+10+8</f>
        <v>27</v>
      </c>
      <c r="H698" s="24">
        <f t="shared" si="29"/>
        <v>577.5</v>
      </c>
      <c r="I698" s="25"/>
      <c r="J698" s="15">
        <f t="shared" si="21"/>
        <v>0</v>
      </c>
      <c r="K698" s="2"/>
    </row>
    <row r="699" spans="1:15" x14ac:dyDescent="0.3">
      <c r="A699" s="21">
        <v>46142</v>
      </c>
      <c r="B699">
        <v>8042</v>
      </c>
      <c r="C699">
        <v>1</v>
      </c>
      <c r="D699" t="s">
        <v>16</v>
      </c>
      <c r="E699" t="s">
        <v>14</v>
      </c>
      <c r="F699">
        <f>33+33+32+33+33+33+33+33+34+33+33+33</f>
        <v>396</v>
      </c>
      <c r="G699" s="23">
        <f>6+9+3+7+8+7+11+3+10+2</f>
        <v>66</v>
      </c>
      <c r="H699" s="24">
        <f t="shared" si="29"/>
        <v>2409</v>
      </c>
      <c r="I699" s="25"/>
      <c r="J699" s="15">
        <f t="shared" si="21"/>
        <v>0</v>
      </c>
      <c r="K699" s="2"/>
    </row>
    <row r="700" spans="1:15" x14ac:dyDescent="0.3">
      <c r="A700" s="21">
        <v>46142</v>
      </c>
      <c r="B700" s="106">
        <v>8043</v>
      </c>
      <c r="C700" s="106">
        <v>1</v>
      </c>
      <c r="D700" s="106" t="s">
        <v>16</v>
      </c>
      <c r="E700" s="106" t="s">
        <v>1</v>
      </c>
      <c r="F700" s="106">
        <f>34+36+33</f>
        <v>103</v>
      </c>
      <c r="G700" s="107">
        <v>11</v>
      </c>
      <c r="H700" s="108">
        <f t="shared" si="29"/>
        <v>623.5</v>
      </c>
      <c r="I700" s="109"/>
      <c r="J700" s="15">
        <f t="shared" si="21"/>
        <v>0</v>
      </c>
      <c r="K700" s="110"/>
      <c r="L700" s="106"/>
      <c r="M700" s="106"/>
      <c r="N700" s="106"/>
      <c r="O700" s="106"/>
    </row>
    <row r="701" spans="1:15" x14ac:dyDescent="0.3">
      <c r="A701" s="21">
        <v>46142</v>
      </c>
      <c r="B701" s="106">
        <v>8043</v>
      </c>
      <c r="C701" s="106">
        <v>2</v>
      </c>
      <c r="D701" s="106" t="s">
        <v>16</v>
      </c>
      <c r="E701" s="106" t="s">
        <v>1</v>
      </c>
      <c r="F701" s="106">
        <f>33+33</f>
        <v>66</v>
      </c>
      <c r="G701" s="107">
        <v>19</v>
      </c>
      <c r="H701" s="108">
        <f t="shared" si="29"/>
        <v>405.5</v>
      </c>
      <c r="I701" s="109"/>
      <c r="J701" s="15">
        <f t="shared" si="21"/>
        <v>0</v>
      </c>
      <c r="K701" s="110"/>
      <c r="L701" s="106"/>
      <c r="M701" s="106"/>
      <c r="N701" s="106"/>
      <c r="O701" s="106"/>
    </row>
    <row r="702" spans="1:15" x14ac:dyDescent="0.3">
      <c r="A702" s="21">
        <v>46142</v>
      </c>
      <c r="B702" s="106">
        <v>8043</v>
      </c>
      <c r="C702" s="106">
        <v>3</v>
      </c>
      <c r="D702" s="106" t="s">
        <v>16</v>
      </c>
      <c r="E702" s="106" t="s">
        <v>14</v>
      </c>
      <c r="F702" s="106">
        <f>34+33+33+34</f>
        <v>134</v>
      </c>
      <c r="G702" s="107">
        <f>11+9+5+5</f>
        <v>30</v>
      </c>
      <c r="H702" s="108">
        <f t="shared" si="29"/>
        <v>819</v>
      </c>
      <c r="I702" s="109"/>
      <c r="J702" s="15">
        <f t="shared" si="21"/>
        <v>0</v>
      </c>
      <c r="K702" s="110"/>
      <c r="L702" s="106"/>
      <c r="M702" s="106"/>
      <c r="N702" s="106"/>
      <c r="O702" s="106"/>
    </row>
    <row r="703" spans="1:15" x14ac:dyDescent="0.3">
      <c r="A703" s="21">
        <v>46142</v>
      </c>
      <c r="B703" s="106">
        <v>8043</v>
      </c>
      <c r="C703" s="106">
        <v>4</v>
      </c>
      <c r="D703" s="106" t="s">
        <v>16</v>
      </c>
      <c r="E703" s="106" t="s">
        <v>14</v>
      </c>
      <c r="F703" s="106">
        <v>33</v>
      </c>
      <c r="G703" s="107">
        <v>11</v>
      </c>
      <c r="H703" s="108">
        <f t="shared" si="29"/>
        <v>203.5</v>
      </c>
      <c r="I703" s="109"/>
      <c r="J703" s="15">
        <f t="shared" si="21"/>
        <v>0</v>
      </c>
      <c r="K703" s="110"/>
      <c r="L703" s="106"/>
      <c r="M703" s="106"/>
      <c r="N703" s="106"/>
      <c r="O703" s="106"/>
    </row>
    <row r="704" spans="1:15" x14ac:dyDescent="0.3">
      <c r="A704" s="21">
        <v>46142</v>
      </c>
      <c r="B704">
        <v>8044</v>
      </c>
      <c r="C704">
        <v>1</v>
      </c>
      <c r="D704" s="22" t="s">
        <v>7</v>
      </c>
      <c r="E704" t="s">
        <v>56</v>
      </c>
      <c r="F704">
        <f>40+39+40+38+39+39+39+39+39+39+40</f>
        <v>431</v>
      </c>
      <c r="G704" s="23">
        <v>0</v>
      </c>
      <c r="H704" s="69">
        <f>+F704*5+G704*0.5</f>
        <v>2155</v>
      </c>
      <c r="I704" s="25"/>
      <c r="J704" s="15">
        <f t="shared" si="21"/>
        <v>0</v>
      </c>
      <c r="K704" s="2"/>
    </row>
    <row r="705" spans="1:15" x14ac:dyDescent="0.3">
      <c r="A705" s="21">
        <v>46142</v>
      </c>
      <c r="B705">
        <v>8045</v>
      </c>
      <c r="C705">
        <v>1</v>
      </c>
      <c r="D705" s="22" t="s">
        <v>7</v>
      </c>
      <c r="E705" t="s">
        <v>56</v>
      </c>
      <c r="F705">
        <f>40+40+37+40+38+39+36+39+39+39+40</f>
        <v>427</v>
      </c>
      <c r="G705" s="23">
        <v>0</v>
      </c>
      <c r="H705" s="69">
        <f>+F705*5+G705*0.5</f>
        <v>2135</v>
      </c>
      <c r="I705" s="25"/>
      <c r="J705" s="15">
        <f t="shared" si="21"/>
        <v>0</v>
      </c>
      <c r="K705" s="2"/>
    </row>
    <row r="706" spans="1:15" x14ac:dyDescent="0.3">
      <c r="A706" s="21">
        <v>46142</v>
      </c>
      <c r="B706">
        <v>8046</v>
      </c>
      <c r="C706">
        <v>1</v>
      </c>
      <c r="D706" s="22" t="s">
        <v>7</v>
      </c>
      <c r="E706" t="s">
        <v>56</v>
      </c>
      <c r="F706">
        <f>40+40+40+39+37+40+38+40+39+40+39</f>
        <v>432</v>
      </c>
      <c r="G706" s="23">
        <v>0</v>
      </c>
      <c r="H706" s="69">
        <f>+F706*5+G706*0.5</f>
        <v>2160</v>
      </c>
      <c r="I706" s="25"/>
      <c r="J706" s="15">
        <f t="shared" si="21"/>
        <v>0</v>
      </c>
      <c r="K706" s="2"/>
    </row>
    <row r="707" spans="1:15" ht="15" thickBot="1" x14ac:dyDescent="0.35">
      <c r="A707" s="111">
        <v>46142</v>
      </c>
      <c r="B707" s="112">
        <v>8047</v>
      </c>
      <c r="C707" s="112">
        <v>1</v>
      </c>
      <c r="D707" s="113" t="s">
        <v>21</v>
      </c>
      <c r="E707" s="112">
        <v>0</v>
      </c>
      <c r="F707" s="112">
        <v>0</v>
      </c>
      <c r="G707" s="114">
        <v>0</v>
      </c>
      <c r="H707" s="115">
        <f t="shared" si="29"/>
        <v>0</v>
      </c>
      <c r="I707" s="116"/>
      <c r="J707" s="88">
        <f t="shared" si="21"/>
        <v>0</v>
      </c>
      <c r="K707" s="117"/>
      <c r="L707" s="112"/>
      <c r="M707" s="112"/>
      <c r="N707" s="112"/>
      <c r="O707" s="112"/>
    </row>
    <row r="708" spans="1:15" x14ac:dyDescent="0.3">
      <c r="A708" s="21">
        <v>46143</v>
      </c>
      <c r="B708">
        <v>8048</v>
      </c>
      <c r="C708">
        <v>1</v>
      </c>
      <c r="D708" s="22" t="s">
        <v>60</v>
      </c>
      <c r="E708" t="s">
        <v>61</v>
      </c>
      <c r="F708">
        <v>15</v>
      </c>
      <c r="G708" s="23">
        <v>0</v>
      </c>
      <c r="H708" s="69">
        <f>+F708*5+G708*0.5</f>
        <v>75</v>
      </c>
      <c r="I708" s="25"/>
      <c r="J708" s="15">
        <f t="shared" si="21"/>
        <v>0</v>
      </c>
      <c r="K708" s="2"/>
    </row>
    <row r="709" spans="1:15" x14ac:dyDescent="0.3">
      <c r="A709" s="21">
        <v>46143</v>
      </c>
      <c r="B709">
        <v>8048</v>
      </c>
      <c r="C709">
        <v>2</v>
      </c>
      <c r="D709" s="22" t="s">
        <v>60</v>
      </c>
      <c r="E709" t="s">
        <v>61</v>
      </c>
      <c r="F709">
        <v>3</v>
      </c>
      <c r="G709" s="23">
        <v>0</v>
      </c>
      <c r="H709" s="69">
        <f>+F709*7+G709*0.5</f>
        <v>21</v>
      </c>
      <c r="I709" s="25"/>
      <c r="J709" s="15">
        <f t="shared" si="21"/>
        <v>0</v>
      </c>
      <c r="K709" s="2"/>
    </row>
    <row r="710" spans="1:15" x14ac:dyDescent="0.3">
      <c r="A710" s="21">
        <v>46143</v>
      </c>
      <c r="B710">
        <v>8048</v>
      </c>
      <c r="C710">
        <v>3</v>
      </c>
      <c r="D710" s="22" t="s">
        <v>60</v>
      </c>
      <c r="E710" t="s">
        <v>61</v>
      </c>
      <c r="F710">
        <v>1</v>
      </c>
      <c r="G710" s="23">
        <v>0</v>
      </c>
      <c r="H710" s="69">
        <f t="shared" si="29"/>
        <v>6</v>
      </c>
      <c r="I710" s="25"/>
      <c r="J710" s="15">
        <f t="shared" si="21"/>
        <v>0</v>
      </c>
      <c r="K710" s="2"/>
    </row>
    <row r="711" spans="1:15" x14ac:dyDescent="0.3">
      <c r="A711" s="21">
        <v>46143</v>
      </c>
      <c r="B711">
        <v>8049</v>
      </c>
      <c r="C711">
        <v>1</v>
      </c>
      <c r="D711" s="22" t="s">
        <v>2</v>
      </c>
      <c r="E711" t="s">
        <v>46</v>
      </c>
      <c r="F711">
        <v>7</v>
      </c>
      <c r="G711" s="23">
        <v>0</v>
      </c>
      <c r="H711" s="69">
        <f>+F711*5+G711*0.5</f>
        <v>35</v>
      </c>
      <c r="I711" s="25"/>
      <c r="J711" s="15">
        <f t="shared" si="21"/>
        <v>0</v>
      </c>
      <c r="K711" s="2"/>
    </row>
    <row r="712" spans="1:15" x14ac:dyDescent="0.3">
      <c r="A712" s="21">
        <v>46143</v>
      </c>
      <c r="B712">
        <v>8049</v>
      </c>
      <c r="C712">
        <v>2</v>
      </c>
      <c r="D712" s="22" t="s">
        <v>2</v>
      </c>
      <c r="E712" t="s">
        <v>50</v>
      </c>
      <c r="F712">
        <v>16</v>
      </c>
      <c r="G712" s="23">
        <v>0</v>
      </c>
      <c r="H712" s="69">
        <f>+F712*5+G712*0.5</f>
        <v>80</v>
      </c>
      <c r="I712" s="25"/>
      <c r="J712" s="15">
        <f t="shared" si="21"/>
        <v>0</v>
      </c>
      <c r="K712" s="2"/>
    </row>
    <row r="713" spans="1:15" x14ac:dyDescent="0.3">
      <c r="A713" s="21">
        <v>46143</v>
      </c>
      <c r="B713">
        <v>8049</v>
      </c>
      <c r="C713">
        <v>3</v>
      </c>
      <c r="D713" s="22" t="s">
        <v>2</v>
      </c>
      <c r="E713" t="s">
        <v>47</v>
      </c>
      <c r="F713">
        <v>21</v>
      </c>
      <c r="G713" s="23">
        <v>0</v>
      </c>
      <c r="H713" s="69">
        <f>+F713*7+G713*0.5</f>
        <v>147</v>
      </c>
      <c r="I713" s="25"/>
      <c r="J713" s="15">
        <f t="shared" si="21"/>
        <v>0</v>
      </c>
      <c r="K713" s="2"/>
    </row>
    <row r="714" spans="1:15" x14ac:dyDescent="0.3">
      <c r="A714" s="4">
        <v>46143</v>
      </c>
      <c r="B714" s="1">
        <v>8049</v>
      </c>
      <c r="C714" s="1">
        <v>4</v>
      </c>
      <c r="D714" s="26" t="s">
        <v>2</v>
      </c>
      <c r="E714" s="1" t="s">
        <v>13</v>
      </c>
      <c r="F714" s="1">
        <v>12</v>
      </c>
      <c r="G714" s="5">
        <v>0</v>
      </c>
      <c r="H714" s="118">
        <f>+F714*7+G714*0.5</f>
        <v>84</v>
      </c>
      <c r="I714" s="7"/>
      <c r="J714" s="8">
        <f t="shared" si="21"/>
        <v>0</v>
      </c>
      <c r="K714" s="9"/>
      <c r="L714" s="1"/>
      <c r="M714" s="1"/>
      <c r="N714" s="1"/>
      <c r="O714" s="1"/>
    </row>
    <row r="715" spans="1:15" x14ac:dyDescent="0.3">
      <c r="A715" s="41">
        <v>46144</v>
      </c>
      <c r="B715" s="42">
        <v>8050</v>
      </c>
      <c r="C715" s="42">
        <v>1</v>
      </c>
      <c r="D715" s="119" t="s">
        <v>18</v>
      </c>
      <c r="E715" s="120" t="s">
        <v>20</v>
      </c>
      <c r="F715" s="42">
        <v>20</v>
      </c>
      <c r="G715" s="43">
        <v>1</v>
      </c>
      <c r="H715" s="121">
        <f>+F715*9+G715*1</f>
        <v>181</v>
      </c>
      <c r="I715" s="45"/>
      <c r="J715" s="46">
        <f t="shared" si="21"/>
        <v>0</v>
      </c>
      <c r="K715" s="47"/>
      <c r="L715" s="42"/>
      <c r="M715" s="42"/>
      <c r="N715" s="42"/>
      <c r="O715" s="42"/>
    </row>
    <row r="716" spans="1:15" x14ac:dyDescent="0.3">
      <c r="A716" s="21">
        <v>46146</v>
      </c>
      <c r="B716">
        <v>8051</v>
      </c>
      <c r="C716">
        <v>1</v>
      </c>
      <c r="D716" t="s">
        <v>22</v>
      </c>
      <c r="E716" t="s">
        <v>1</v>
      </c>
      <c r="F716">
        <f>34+33+34</f>
        <v>101</v>
      </c>
      <c r="G716" s="23">
        <v>8</v>
      </c>
      <c r="H716" s="69">
        <f t="shared" ref="H716:H776" si="33">+F716*6+G716*0.5</f>
        <v>610</v>
      </c>
      <c r="I716" s="25"/>
      <c r="J716" s="15">
        <f t="shared" si="21"/>
        <v>0</v>
      </c>
      <c r="K716" s="2"/>
    </row>
    <row r="717" spans="1:15" x14ac:dyDescent="0.3">
      <c r="A717" s="21">
        <v>46146</v>
      </c>
      <c r="B717">
        <v>8052</v>
      </c>
      <c r="C717">
        <v>1</v>
      </c>
      <c r="D717" t="s">
        <v>36</v>
      </c>
      <c r="E717" t="s">
        <v>14</v>
      </c>
      <c r="F717">
        <v>33</v>
      </c>
      <c r="G717" s="23">
        <v>7</v>
      </c>
      <c r="H717" s="69">
        <f t="shared" si="33"/>
        <v>201.5</v>
      </c>
      <c r="I717" s="25"/>
      <c r="J717" s="15">
        <f t="shared" si="21"/>
        <v>0</v>
      </c>
      <c r="K717" s="2"/>
    </row>
    <row r="718" spans="1:15" x14ac:dyDescent="0.3">
      <c r="A718" s="21">
        <v>46146</v>
      </c>
      <c r="B718">
        <v>8053</v>
      </c>
      <c r="C718">
        <v>1</v>
      </c>
      <c r="D718" t="s">
        <v>16</v>
      </c>
      <c r="E718" t="s">
        <v>1</v>
      </c>
      <c r="F718">
        <v>34</v>
      </c>
      <c r="G718" s="23">
        <v>0</v>
      </c>
      <c r="H718" s="24">
        <f t="shared" si="33"/>
        <v>204</v>
      </c>
      <c r="I718" s="25"/>
      <c r="J718" s="15">
        <f t="shared" si="21"/>
        <v>0</v>
      </c>
      <c r="K718" s="2"/>
    </row>
    <row r="719" spans="1:15" x14ac:dyDescent="0.3">
      <c r="A719" s="21">
        <v>46146</v>
      </c>
      <c r="B719">
        <v>8054</v>
      </c>
      <c r="C719">
        <v>1</v>
      </c>
      <c r="D719" t="s">
        <v>0</v>
      </c>
      <c r="E719" t="s">
        <v>14</v>
      </c>
      <c r="F719">
        <f>33+30+32</f>
        <v>95</v>
      </c>
      <c r="G719" s="23">
        <v>19</v>
      </c>
      <c r="H719" s="24">
        <f t="shared" si="33"/>
        <v>579.5</v>
      </c>
      <c r="I719" s="25"/>
      <c r="J719" s="15">
        <f t="shared" si="21"/>
        <v>0</v>
      </c>
      <c r="K719" s="2"/>
    </row>
    <row r="720" spans="1:15" x14ac:dyDescent="0.3">
      <c r="A720" s="21">
        <v>46146</v>
      </c>
      <c r="B720">
        <v>8055</v>
      </c>
      <c r="C720">
        <v>1</v>
      </c>
      <c r="D720" t="s">
        <v>23</v>
      </c>
      <c r="E720" t="s">
        <v>14</v>
      </c>
      <c r="F720">
        <v>66</v>
      </c>
      <c r="G720" s="23">
        <v>11</v>
      </c>
      <c r="H720" s="24">
        <f t="shared" si="33"/>
        <v>401.5</v>
      </c>
      <c r="I720" s="25"/>
      <c r="J720" s="15">
        <f t="shared" si="21"/>
        <v>0</v>
      </c>
      <c r="K720" s="2"/>
    </row>
    <row r="721" spans="1:15" x14ac:dyDescent="0.3">
      <c r="A721" s="21">
        <v>46146</v>
      </c>
      <c r="B721">
        <v>8056</v>
      </c>
      <c r="C721">
        <v>1</v>
      </c>
      <c r="D721" t="s">
        <v>17</v>
      </c>
      <c r="E721" t="s">
        <v>14</v>
      </c>
      <c r="F721">
        <f>33+34+33</f>
        <v>100</v>
      </c>
      <c r="G721" s="23">
        <f>6+8</f>
        <v>14</v>
      </c>
      <c r="H721" s="24">
        <f t="shared" si="33"/>
        <v>607</v>
      </c>
      <c r="I721" s="25"/>
      <c r="J721" s="15">
        <f t="shared" si="21"/>
        <v>0</v>
      </c>
      <c r="K721" s="2"/>
    </row>
    <row r="722" spans="1:15" x14ac:dyDescent="0.3">
      <c r="A722" s="21">
        <v>46146</v>
      </c>
      <c r="B722">
        <v>8057</v>
      </c>
      <c r="C722">
        <v>1</v>
      </c>
      <c r="D722" t="s">
        <v>11</v>
      </c>
      <c r="E722" t="s">
        <v>12</v>
      </c>
      <c r="F722">
        <f>33+22+31+28</f>
        <v>114</v>
      </c>
      <c r="G722" s="23">
        <f>5+4+1+3</f>
        <v>13</v>
      </c>
      <c r="H722" s="24">
        <f>+F722*6+G722*1</f>
        <v>697</v>
      </c>
      <c r="I722" s="25"/>
      <c r="J722" s="15">
        <f t="shared" si="21"/>
        <v>0</v>
      </c>
      <c r="K722" s="2"/>
    </row>
    <row r="723" spans="1:15" x14ac:dyDescent="0.3">
      <c r="A723" s="4">
        <v>46146</v>
      </c>
      <c r="B723" s="1">
        <v>8058</v>
      </c>
      <c r="C723" s="1">
        <v>1</v>
      </c>
      <c r="D723" s="1" t="s">
        <v>25</v>
      </c>
      <c r="E723" s="1" t="s">
        <v>1</v>
      </c>
      <c r="F723" s="1">
        <v>16</v>
      </c>
      <c r="G723" s="5">
        <v>10</v>
      </c>
      <c r="H723" s="6">
        <f t="shared" si="33"/>
        <v>101</v>
      </c>
      <c r="I723" s="7"/>
      <c r="J723" s="8">
        <f t="shared" si="21"/>
        <v>0</v>
      </c>
      <c r="K723" s="9"/>
      <c r="L723" s="1"/>
      <c r="M723" s="1"/>
      <c r="N723" s="1"/>
      <c r="O723" s="1"/>
    </row>
    <row r="724" spans="1:15" x14ac:dyDescent="0.3">
      <c r="A724" s="21">
        <v>46147</v>
      </c>
      <c r="B724">
        <v>8059</v>
      </c>
      <c r="C724">
        <v>1</v>
      </c>
      <c r="D724" t="s">
        <v>39</v>
      </c>
      <c r="E724" t="s">
        <v>1</v>
      </c>
      <c r="F724">
        <f>33+33+33</f>
        <v>99</v>
      </c>
      <c r="G724" s="23">
        <f>11+11+9</f>
        <v>31</v>
      </c>
      <c r="H724" s="69">
        <f>+F724*6+G724*0.5</f>
        <v>609.5</v>
      </c>
      <c r="I724" s="25"/>
      <c r="J724" s="15">
        <f t="shared" si="21"/>
        <v>0</v>
      </c>
      <c r="K724" s="2"/>
    </row>
    <row r="725" spans="1:15" x14ac:dyDescent="0.3">
      <c r="A725" s="21">
        <v>46147</v>
      </c>
      <c r="B725">
        <v>8060</v>
      </c>
      <c r="C725">
        <v>1</v>
      </c>
      <c r="D725" t="s">
        <v>17</v>
      </c>
      <c r="E725" t="s">
        <v>14</v>
      </c>
      <c r="F725">
        <f>33+33</f>
        <v>66</v>
      </c>
      <c r="G725" s="23">
        <v>5</v>
      </c>
      <c r="H725" s="24">
        <f t="shared" si="33"/>
        <v>398.5</v>
      </c>
      <c r="I725" s="25"/>
      <c r="J725" s="15">
        <f t="shared" si="21"/>
        <v>0</v>
      </c>
      <c r="K725" s="2"/>
    </row>
    <row r="726" spans="1:15" x14ac:dyDescent="0.3">
      <c r="A726" s="21">
        <v>46147</v>
      </c>
      <c r="B726">
        <v>8061</v>
      </c>
      <c r="C726">
        <v>1</v>
      </c>
      <c r="D726" t="s">
        <v>36</v>
      </c>
      <c r="E726" t="s">
        <v>14</v>
      </c>
      <c r="F726">
        <v>66</v>
      </c>
      <c r="G726" s="23">
        <v>6</v>
      </c>
      <c r="H726" s="24">
        <f t="shared" si="33"/>
        <v>399</v>
      </c>
      <c r="I726" s="25"/>
      <c r="J726" s="15">
        <f t="shared" si="21"/>
        <v>0</v>
      </c>
      <c r="K726" s="2"/>
    </row>
    <row r="727" spans="1:15" x14ac:dyDescent="0.3">
      <c r="A727" s="4">
        <v>46147</v>
      </c>
      <c r="B727" s="1">
        <v>8062</v>
      </c>
      <c r="C727" s="1">
        <v>1</v>
      </c>
      <c r="D727" s="1" t="s">
        <v>0</v>
      </c>
      <c r="E727" s="1" t="s">
        <v>14</v>
      </c>
      <c r="F727" s="1">
        <v>33</v>
      </c>
      <c r="G727" s="5">
        <v>9</v>
      </c>
      <c r="H727" s="6">
        <f t="shared" si="33"/>
        <v>202.5</v>
      </c>
      <c r="I727" s="7"/>
      <c r="J727" s="8">
        <f t="shared" si="21"/>
        <v>0</v>
      </c>
      <c r="K727" s="9"/>
      <c r="L727" s="1"/>
      <c r="M727" s="1"/>
      <c r="N727" s="1"/>
      <c r="O727" s="1"/>
    </row>
    <row r="728" spans="1:15" x14ac:dyDescent="0.3">
      <c r="A728" s="21">
        <v>46148</v>
      </c>
      <c r="B728">
        <v>8063</v>
      </c>
      <c r="C728">
        <v>1</v>
      </c>
      <c r="D728" s="22" t="s">
        <v>7</v>
      </c>
      <c r="E728" t="s">
        <v>8</v>
      </c>
      <c r="F728">
        <f>43+42+42+42+42+42+42+40</f>
        <v>335</v>
      </c>
      <c r="G728" s="23">
        <v>0</v>
      </c>
      <c r="H728" s="24">
        <f>+F728*5+G728*0.5</f>
        <v>1675</v>
      </c>
      <c r="I728" s="25"/>
      <c r="J728" s="15">
        <f t="shared" si="21"/>
        <v>0</v>
      </c>
      <c r="K728" s="2"/>
    </row>
    <row r="729" spans="1:15" x14ac:dyDescent="0.3">
      <c r="A729" s="21">
        <v>46148</v>
      </c>
      <c r="B729">
        <v>8063</v>
      </c>
      <c r="C729">
        <v>2</v>
      </c>
      <c r="D729" s="22" t="s">
        <v>7</v>
      </c>
      <c r="E729" t="s">
        <v>24</v>
      </c>
      <c r="F729">
        <f>40+39</f>
        <v>79</v>
      </c>
      <c r="G729" s="23">
        <v>0</v>
      </c>
      <c r="H729" s="24">
        <f>+F729*5+G729*0.5</f>
        <v>395</v>
      </c>
      <c r="I729" s="25"/>
      <c r="J729" s="15">
        <f t="shared" si="21"/>
        <v>0</v>
      </c>
      <c r="K729" s="2"/>
    </row>
    <row r="730" spans="1:15" x14ac:dyDescent="0.3">
      <c r="A730" s="21">
        <v>46148</v>
      </c>
      <c r="B730">
        <v>8064</v>
      </c>
      <c r="C730">
        <v>1</v>
      </c>
      <c r="D730" s="22" t="s">
        <v>18</v>
      </c>
      <c r="E730" s="28" t="s">
        <v>20</v>
      </c>
      <c r="F730">
        <f>21+22+22+21+22</f>
        <v>108</v>
      </c>
      <c r="G730" s="23">
        <f>7+2+7+1+0</f>
        <v>17</v>
      </c>
      <c r="H730" s="24">
        <f>+F730*9+G730*1</f>
        <v>989</v>
      </c>
      <c r="I730" s="25"/>
      <c r="J730" s="15">
        <f t="shared" si="21"/>
        <v>0</v>
      </c>
      <c r="K730" s="2"/>
    </row>
    <row r="731" spans="1:15" x14ac:dyDescent="0.3">
      <c r="A731" s="21">
        <v>46148</v>
      </c>
      <c r="B731">
        <v>8065</v>
      </c>
      <c r="C731">
        <v>1</v>
      </c>
      <c r="D731" s="22" t="s">
        <v>7</v>
      </c>
      <c r="E731" t="s">
        <v>56</v>
      </c>
      <c r="F731">
        <f>40+40+39+37</f>
        <v>156</v>
      </c>
      <c r="G731" s="23">
        <v>0</v>
      </c>
      <c r="H731" s="24">
        <f>+F731*5+G731*0.5</f>
        <v>780</v>
      </c>
      <c r="I731" s="25"/>
      <c r="J731" s="15">
        <f t="shared" si="21"/>
        <v>0</v>
      </c>
      <c r="K731" s="2"/>
    </row>
    <row r="732" spans="1:15" x14ac:dyDescent="0.3">
      <c r="A732" s="21">
        <v>46148</v>
      </c>
      <c r="B732">
        <v>8065</v>
      </c>
      <c r="C732">
        <v>2</v>
      </c>
      <c r="D732" s="22" t="s">
        <v>7</v>
      </c>
      <c r="E732" t="s">
        <v>54</v>
      </c>
      <c r="F732">
        <f>39+27+18</f>
        <v>84</v>
      </c>
      <c r="G732" s="23">
        <v>0</v>
      </c>
      <c r="H732" s="24">
        <f t="shared" ref="H732:H734" si="34">+F732*5+G732*0.5</f>
        <v>420</v>
      </c>
      <c r="I732" s="25"/>
      <c r="J732" s="15">
        <f t="shared" si="21"/>
        <v>0</v>
      </c>
      <c r="K732" s="2"/>
    </row>
    <row r="733" spans="1:15" x14ac:dyDescent="0.3">
      <c r="A733" s="21">
        <v>46148</v>
      </c>
      <c r="B733">
        <v>8065</v>
      </c>
      <c r="C733">
        <v>3</v>
      </c>
      <c r="D733" s="22" t="s">
        <v>7</v>
      </c>
      <c r="E733" t="s">
        <v>50</v>
      </c>
      <c r="F733">
        <v>43</v>
      </c>
      <c r="G733" s="23">
        <v>0</v>
      </c>
      <c r="H733" s="24">
        <f t="shared" si="34"/>
        <v>215</v>
      </c>
      <c r="I733" s="25"/>
      <c r="J733" s="15">
        <f t="shared" si="21"/>
        <v>0</v>
      </c>
      <c r="K733" s="2"/>
    </row>
    <row r="734" spans="1:15" x14ac:dyDescent="0.3">
      <c r="A734" s="4">
        <v>46148</v>
      </c>
      <c r="B734" s="1">
        <v>8065</v>
      </c>
      <c r="C734" s="1">
        <v>4</v>
      </c>
      <c r="D734" s="26" t="s">
        <v>7</v>
      </c>
      <c r="E734" s="1" t="s">
        <v>46</v>
      </c>
      <c r="F734" s="1">
        <v>103</v>
      </c>
      <c r="G734" s="5">
        <v>0</v>
      </c>
      <c r="H734" s="6">
        <f t="shared" si="34"/>
        <v>515</v>
      </c>
      <c r="I734" s="7"/>
      <c r="J734" s="8">
        <f t="shared" si="21"/>
        <v>0</v>
      </c>
      <c r="K734" s="9"/>
      <c r="L734" s="1"/>
      <c r="M734" s="1"/>
      <c r="N734" s="1"/>
      <c r="O734" s="1"/>
    </row>
    <row r="735" spans="1:15" x14ac:dyDescent="0.3">
      <c r="A735" s="21">
        <v>46149</v>
      </c>
      <c r="B735">
        <v>8066</v>
      </c>
      <c r="C735">
        <v>1</v>
      </c>
      <c r="D735" t="s">
        <v>36</v>
      </c>
      <c r="E735" t="s">
        <v>14</v>
      </c>
      <c r="F735">
        <f>35+33</f>
        <v>68</v>
      </c>
      <c r="G735" s="23">
        <v>10</v>
      </c>
      <c r="H735" s="24">
        <f t="shared" si="33"/>
        <v>413</v>
      </c>
      <c r="I735" s="25"/>
      <c r="J735" s="15">
        <f t="shared" si="21"/>
        <v>0</v>
      </c>
      <c r="K735" s="2"/>
    </row>
    <row r="736" spans="1:15" x14ac:dyDescent="0.3">
      <c r="A736" s="21">
        <v>46149</v>
      </c>
      <c r="B736">
        <v>8067</v>
      </c>
      <c r="C736">
        <v>1</v>
      </c>
      <c r="D736" t="s">
        <v>0</v>
      </c>
      <c r="E736" t="s">
        <v>14</v>
      </c>
      <c r="F736">
        <v>32</v>
      </c>
      <c r="G736" s="23">
        <v>10</v>
      </c>
      <c r="H736" s="24">
        <f t="shared" si="33"/>
        <v>197</v>
      </c>
      <c r="I736" s="25"/>
      <c r="J736" s="15">
        <f t="shared" si="21"/>
        <v>0</v>
      </c>
      <c r="K736" s="2"/>
    </row>
    <row r="737" spans="1:15" x14ac:dyDescent="0.3">
      <c r="A737" s="21">
        <v>46149</v>
      </c>
      <c r="B737">
        <v>8068</v>
      </c>
      <c r="C737">
        <v>1</v>
      </c>
      <c r="D737" t="s">
        <v>16</v>
      </c>
      <c r="E737" t="s">
        <v>14</v>
      </c>
      <c r="F737">
        <f>32+32+33+32+33+33+32+33+33+34</f>
        <v>327</v>
      </c>
      <c r="G737" s="23">
        <f>9+9+1+9+1+5+3+5+7+4</f>
        <v>53</v>
      </c>
      <c r="H737" s="24">
        <f t="shared" si="33"/>
        <v>1988.5</v>
      </c>
      <c r="I737" s="25"/>
      <c r="J737" s="15">
        <f t="shared" si="21"/>
        <v>0</v>
      </c>
      <c r="K737" s="2"/>
    </row>
    <row r="738" spans="1:15" x14ac:dyDescent="0.3">
      <c r="A738" s="21">
        <v>46149</v>
      </c>
      <c r="B738">
        <v>8069</v>
      </c>
      <c r="C738">
        <v>1</v>
      </c>
      <c r="D738" s="22" t="s">
        <v>7</v>
      </c>
      <c r="E738" t="s">
        <v>8</v>
      </c>
      <c r="F738">
        <f>42+42</f>
        <v>84</v>
      </c>
      <c r="G738" s="23">
        <v>0</v>
      </c>
      <c r="H738" s="24">
        <f>+F738*5+G738*0.5</f>
        <v>420</v>
      </c>
      <c r="I738" s="25"/>
      <c r="J738" s="15">
        <f t="shared" si="21"/>
        <v>0</v>
      </c>
      <c r="K738" s="2"/>
    </row>
    <row r="739" spans="1:15" x14ac:dyDescent="0.3">
      <c r="A739" s="4">
        <v>46149</v>
      </c>
      <c r="B739" s="1">
        <v>8069</v>
      </c>
      <c r="C739" s="1">
        <v>2</v>
      </c>
      <c r="D739" s="26" t="s">
        <v>7</v>
      </c>
      <c r="E739" s="1" t="s">
        <v>24</v>
      </c>
      <c r="F739" s="1">
        <f>42+39+39</f>
        <v>120</v>
      </c>
      <c r="G739" s="5">
        <v>0</v>
      </c>
      <c r="H739" s="6">
        <f>+F739*5+G739*0.5</f>
        <v>600</v>
      </c>
      <c r="I739" s="7"/>
      <c r="J739" s="8">
        <f t="shared" si="21"/>
        <v>0</v>
      </c>
      <c r="K739" s="9"/>
      <c r="L739" s="1"/>
      <c r="M739" s="1"/>
      <c r="N739" s="1"/>
      <c r="O739" s="1"/>
    </row>
    <row r="740" spans="1:15" x14ac:dyDescent="0.3">
      <c r="A740" s="21">
        <v>46150</v>
      </c>
      <c r="B740">
        <v>8070</v>
      </c>
      <c r="C740">
        <v>1</v>
      </c>
      <c r="D740" t="s">
        <v>39</v>
      </c>
      <c r="E740" t="s">
        <v>1</v>
      </c>
      <c r="F740">
        <f>33+33+33+33+33</f>
        <v>165</v>
      </c>
      <c r="G740" s="23">
        <f>10+7+3+5+9</f>
        <v>34</v>
      </c>
      <c r="H740" s="24">
        <f t="shared" si="33"/>
        <v>1007</v>
      </c>
      <c r="I740" s="25"/>
      <c r="J740" s="15">
        <f t="shared" si="21"/>
        <v>0</v>
      </c>
      <c r="K740" s="2"/>
    </row>
    <row r="741" spans="1:15" x14ac:dyDescent="0.3">
      <c r="A741" s="21">
        <v>46150</v>
      </c>
      <c r="B741">
        <v>8071</v>
      </c>
      <c r="C741">
        <v>1</v>
      </c>
      <c r="D741" t="s">
        <v>16</v>
      </c>
      <c r="E741" t="s">
        <v>14</v>
      </c>
      <c r="F741">
        <f>32+33</f>
        <v>65</v>
      </c>
      <c r="G741" s="23">
        <v>16</v>
      </c>
      <c r="H741" s="24">
        <f t="shared" si="33"/>
        <v>398</v>
      </c>
      <c r="I741" s="25"/>
      <c r="J741" s="15">
        <f t="shared" si="21"/>
        <v>0</v>
      </c>
      <c r="K741" s="2"/>
    </row>
    <row r="742" spans="1:15" x14ac:dyDescent="0.3">
      <c r="A742" s="21">
        <v>46150</v>
      </c>
      <c r="B742" s="122">
        <v>8072</v>
      </c>
      <c r="C742" s="122">
        <v>1</v>
      </c>
      <c r="D742" s="122" t="s">
        <v>16</v>
      </c>
      <c r="E742" s="122" t="s">
        <v>14</v>
      </c>
      <c r="F742" s="122">
        <v>323</v>
      </c>
      <c r="G742" s="123">
        <v>0</v>
      </c>
      <c r="H742" s="124">
        <f t="shared" si="33"/>
        <v>1938</v>
      </c>
      <c r="I742" s="25"/>
      <c r="J742" s="15">
        <f t="shared" si="21"/>
        <v>0</v>
      </c>
      <c r="K742" s="2"/>
    </row>
    <row r="743" spans="1:15" x14ac:dyDescent="0.3">
      <c r="A743" s="21">
        <v>46150</v>
      </c>
      <c r="B743">
        <v>8073</v>
      </c>
      <c r="C743">
        <v>1</v>
      </c>
      <c r="D743" s="22" t="s">
        <v>7</v>
      </c>
      <c r="E743" t="s">
        <v>8</v>
      </c>
      <c r="F743">
        <v>42</v>
      </c>
      <c r="G743" s="23">
        <v>0</v>
      </c>
      <c r="H743" s="24">
        <f>+F743*5+G743*0.5</f>
        <v>210</v>
      </c>
      <c r="I743" s="25"/>
      <c r="J743" s="15">
        <f t="shared" si="21"/>
        <v>0</v>
      </c>
      <c r="K743" s="2"/>
    </row>
    <row r="744" spans="1:15" x14ac:dyDescent="0.3">
      <c r="A744" s="21">
        <v>46150</v>
      </c>
      <c r="B744">
        <v>8073</v>
      </c>
      <c r="C744">
        <v>2</v>
      </c>
      <c r="D744" s="22" t="s">
        <v>7</v>
      </c>
      <c r="E744" t="s">
        <v>24</v>
      </c>
      <c r="F744">
        <v>40</v>
      </c>
      <c r="G744" s="23">
        <v>0</v>
      </c>
      <c r="H744" s="24">
        <f t="shared" ref="H744:H745" si="35">+F744*5+G744*0.5</f>
        <v>200</v>
      </c>
      <c r="I744" s="25"/>
      <c r="J744" s="15">
        <f t="shared" si="21"/>
        <v>0</v>
      </c>
      <c r="K744" s="2"/>
    </row>
    <row r="745" spans="1:15" x14ac:dyDescent="0.3">
      <c r="A745" s="21">
        <v>46150</v>
      </c>
      <c r="B745">
        <v>8073</v>
      </c>
      <c r="C745">
        <v>3</v>
      </c>
      <c r="D745" s="22" t="s">
        <v>7</v>
      </c>
      <c r="E745" t="s">
        <v>4</v>
      </c>
      <c r="F745">
        <f>36+36+36</f>
        <v>108</v>
      </c>
      <c r="G745" s="23">
        <v>0</v>
      </c>
      <c r="H745" s="24">
        <f t="shared" si="35"/>
        <v>540</v>
      </c>
      <c r="I745" s="25"/>
      <c r="J745" s="15">
        <f t="shared" si="21"/>
        <v>0</v>
      </c>
      <c r="K745" s="2"/>
    </row>
    <row r="746" spans="1:15" x14ac:dyDescent="0.3">
      <c r="A746" s="21">
        <v>46150</v>
      </c>
      <c r="B746">
        <v>8074</v>
      </c>
      <c r="C746">
        <v>1</v>
      </c>
      <c r="D746" t="s">
        <v>0</v>
      </c>
      <c r="E746" t="s">
        <v>14</v>
      </c>
      <c r="F746">
        <f>33+31</f>
        <v>64</v>
      </c>
      <c r="G746" s="23">
        <v>8</v>
      </c>
      <c r="H746" s="24">
        <f t="shared" si="33"/>
        <v>388</v>
      </c>
      <c r="I746" s="25"/>
      <c r="J746" s="15">
        <f t="shared" si="21"/>
        <v>0</v>
      </c>
      <c r="K746" s="2"/>
    </row>
    <row r="747" spans="1:15" x14ac:dyDescent="0.3">
      <c r="A747" s="21">
        <v>46150</v>
      </c>
      <c r="B747">
        <v>8075</v>
      </c>
      <c r="C747">
        <v>1</v>
      </c>
      <c r="D747" t="s">
        <v>15</v>
      </c>
      <c r="E747" t="s">
        <v>14</v>
      </c>
      <c r="F747">
        <f>31+33+32</f>
        <v>96</v>
      </c>
      <c r="G747" s="23">
        <v>18</v>
      </c>
      <c r="H747" s="24">
        <f t="shared" si="33"/>
        <v>585</v>
      </c>
      <c r="I747" s="25"/>
      <c r="J747" s="15">
        <f t="shared" si="21"/>
        <v>0</v>
      </c>
      <c r="K747" s="2"/>
    </row>
    <row r="748" spans="1:15" x14ac:dyDescent="0.3">
      <c r="A748" s="21">
        <v>46150</v>
      </c>
      <c r="B748">
        <v>8076</v>
      </c>
      <c r="C748">
        <v>1</v>
      </c>
      <c r="D748" t="s">
        <v>29</v>
      </c>
      <c r="E748" t="s">
        <v>14</v>
      </c>
      <c r="F748">
        <v>33</v>
      </c>
      <c r="G748" s="23">
        <v>7</v>
      </c>
      <c r="H748" s="24">
        <f t="shared" si="33"/>
        <v>201.5</v>
      </c>
      <c r="I748" s="25"/>
      <c r="J748" s="15">
        <f t="shared" si="21"/>
        <v>0</v>
      </c>
      <c r="K748" s="2"/>
    </row>
    <row r="749" spans="1:15" x14ac:dyDescent="0.3">
      <c r="A749" s="21">
        <v>46150</v>
      </c>
      <c r="B749">
        <v>8077</v>
      </c>
      <c r="C749">
        <v>1</v>
      </c>
      <c r="D749" t="s">
        <v>17</v>
      </c>
      <c r="E749" t="s">
        <v>14</v>
      </c>
      <c r="F749">
        <v>66</v>
      </c>
      <c r="G749" s="23">
        <v>13</v>
      </c>
      <c r="H749" s="24">
        <f t="shared" si="33"/>
        <v>402.5</v>
      </c>
      <c r="I749" s="25"/>
      <c r="J749" s="15">
        <f t="shared" si="21"/>
        <v>0</v>
      </c>
      <c r="K749" s="2"/>
    </row>
    <row r="750" spans="1:15" x14ac:dyDescent="0.3">
      <c r="A750" s="4">
        <v>46150</v>
      </c>
      <c r="B750" s="1">
        <v>8078</v>
      </c>
      <c r="C750" s="1">
        <v>1</v>
      </c>
      <c r="D750" s="1" t="s">
        <v>17</v>
      </c>
      <c r="E750" s="1" t="s">
        <v>1</v>
      </c>
      <c r="F750" s="1">
        <v>33</v>
      </c>
      <c r="G750" s="5">
        <v>11</v>
      </c>
      <c r="H750" s="6">
        <f t="shared" si="33"/>
        <v>203.5</v>
      </c>
      <c r="I750" s="7"/>
      <c r="J750" s="8">
        <f t="shared" si="21"/>
        <v>0</v>
      </c>
      <c r="K750" s="9"/>
      <c r="L750" s="1"/>
      <c r="M750" s="1"/>
      <c r="N750" s="1"/>
      <c r="O750" s="1"/>
    </row>
    <row r="751" spans="1:15" x14ac:dyDescent="0.3">
      <c r="A751" s="21">
        <v>46151</v>
      </c>
      <c r="B751">
        <v>8079</v>
      </c>
      <c r="C751">
        <v>1</v>
      </c>
      <c r="D751" t="s">
        <v>22</v>
      </c>
      <c r="E751" t="s">
        <v>33</v>
      </c>
      <c r="F751">
        <v>29</v>
      </c>
      <c r="G751" s="23">
        <v>0</v>
      </c>
      <c r="H751" s="24">
        <f t="shared" si="33"/>
        <v>174</v>
      </c>
      <c r="I751" s="25"/>
      <c r="J751" s="15">
        <f t="shared" si="21"/>
        <v>0</v>
      </c>
      <c r="K751" s="2"/>
    </row>
    <row r="752" spans="1:15" x14ac:dyDescent="0.3">
      <c r="A752" s="21">
        <v>46151</v>
      </c>
      <c r="B752">
        <v>8080</v>
      </c>
      <c r="C752">
        <v>1</v>
      </c>
      <c r="D752" t="s">
        <v>22</v>
      </c>
      <c r="E752" t="s">
        <v>1</v>
      </c>
      <c r="F752">
        <v>34</v>
      </c>
      <c r="G752" s="23">
        <v>0</v>
      </c>
      <c r="H752" s="24">
        <f t="shared" si="33"/>
        <v>204</v>
      </c>
      <c r="I752" s="25"/>
      <c r="J752" s="15">
        <f t="shared" si="21"/>
        <v>0</v>
      </c>
      <c r="K752" s="2"/>
    </row>
    <row r="753" spans="1:15" x14ac:dyDescent="0.3">
      <c r="A753" s="21">
        <v>46151</v>
      </c>
      <c r="B753">
        <v>8081</v>
      </c>
      <c r="C753">
        <v>1</v>
      </c>
      <c r="D753" t="s">
        <v>36</v>
      </c>
      <c r="E753" t="s">
        <v>14</v>
      </c>
      <c r="F753">
        <f>33+33+32+33</f>
        <v>131</v>
      </c>
      <c r="G753" s="23">
        <f>9+6+11+1</f>
        <v>27</v>
      </c>
      <c r="H753" s="24">
        <f t="shared" si="33"/>
        <v>799.5</v>
      </c>
      <c r="I753" s="25"/>
      <c r="J753" s="15">
        <f t="shared" si="21"/>
        <v>0</v>
      </c>
      <c r="K753" s="2"/>
    </row>
    <row r="754" spans="1:15" x14ac:dyDescent="0.3">
      <c r="A754" s="21">
        <v>46151</v>
      </c>
      <c r="B754">
        <v>8082</v>
      </c>
      <c r="C754">
        <v>1</v>
      </c>
      <c r="D754" t="s">
        <v>0</v>
      </c>
      <c r="E754" t="s">
        <v>14</v>
      </c>
      <c r="F754">
        <v>33</v>
      </c>
      <c r="G754" s="23">
        <v>9</v>
      </c>
      <c r="H754" s="24">
        <f t="shared" si="33"/>
        <v>202.5</v>
      </c>
      <c r="I754" s="25"/>
      <c r="J754" s="15">
        <f t="shared" si="21"/>
        <v>0</v>
      </c>
      <c r="K754" s="2"/>
    </row>
    <row r="755" spans="1:15" x14ac:dyDescent="0.3">
      <c r="A755" s="21">
        <v>46151</v>
      </c>
      <c r="B755">
        <v>8083</v>
      </c>
      <c r="C755">
        <v>1</v>
      </c>
      <c r="D755" t="s">
        <v>17</v>
      </c>
      <c r="E755" t="s">
        <v>14</v>
      </c>
      <c r="F755">
        <v>99</v>
      </c>
      <c r="G755" s="23">
        <v>10</v>
      </c>
      <c r="H755" s="24">
        <f t="shared" si="33"/>
        <v>599</v>
      </c>
      <c r="I755" s="25"/>
      <c r="J755" s="15">
        <f t="shared" si="21"/>
        <v>0</v>
      </c>
      <c r="K755" s="2"/>
    </row>
    <row r="756" spans="1:15" x14ac:dyDescent="0.3">
      <c r="A756" s="21">
        <v>46151</v>
      </c>
      <c r="B756">
        <v>8084</v>
      </c>
      <c r="C756">
        <v>1</v>
      </c>
      <c r="D756" t="s">
        <v>17</v>
      </c>
      <c r="E756" t="s">
        <v>1</v>
      </c>
      <c r="F756">
        <v>33</v>
      </c>
      <c r="G756" s="23">
        <v>9</v>
      </c>
      <c r="H756" s="24">
        <f t="shared" si="33"/>
        <v>202.5</v>
      </c>
      <c r="I756" s="25"/>
      <c r="J756" s="15">
        <f t="shared" si="21"/>
        <v>0</v>
      </c>
      <c r="K756" s="2"/>
    </row>
    <row r="757" spans="1:15" x14ac:dyDescent="0.3">
      <c r="A757" s="21">
        <v>46151</v>
      </c>
      <c r="B757">
        <v>8085</v>
      </c>
      <c r="C757">
        <v>1</v>
      </c>
      <c r="D757" t="s">
        <v>39</v>
      </c>
      <c r="E757" t="s">
        <v>1</v>
      </c>
      <c r="F757">
        <v>33</v>
      </c>
      <c r="G757" s="23">
        <v>8</v>
      </c>
      <c r="H757" s="24">
        <f t="shared" si="33"/>
        <v>202</v>
      </c>
      <c r="I757" s="25"/>
      <c r="J757" s="15">
        <f t="shared" si="21"/>
        <v>0</v>
      </c>
      <c r="K757" s="2"/>
    </row>
    <row r="758" spans="1:15" x14ac:dyDescent="0.3">
      <c r="A758" s="21">
        <v>46151</v>
      </c>
      <c r="B758">
        <v>8086</v>
      </c>
      <c r="C758">
        <v>1</v>
      </c>
      <c r="D758" s="22" t="s">
        <v>7</v>
      </c>
      <c r="E758" t="s">
        <v>4</v>
      </c>
      <c r="F758">
        <v>43</v>
      </c>
      <c r="G758" s="23">
        <v>0</v>
      </c>
      <c r="H758" s="24">
        <f>+F758*5+G758*0.5</f>
        <v>215</v>
      </c>
      <c r="I758" s="25"/>
      <c r="J758" s="15">
        <f t="shared" si="21"/>
        <v>0</v>
      </c>
      <c r="K758" s="2"/>
    </row>
    <row r="759" spans="1:15" x14ac:dyDescent="0.3">
      <c r="A759" s="21">
        <v>46151</v>
      </c>
      <c r="B759">
        <v>8086</v>
      </c>
      <c r="C759">
        <v>2</v>
      </c>
      <c r="D759" s="22" t="s">
        <v>7</v>
      </c>
      <c r="E759" t="s">
        <v>8</v>
      </c>
      <c r="F759">
        <v>41</v>
      </c>
      <c r="G759" s="23">
        <v>0</v>
      </c>
      <c r="H759" s="24">
        <f t="shared" ref="H759:H760" si="36">+F759*5+G759*0.5</f>
        <v>205</v>
      </c>
      <c r="I759" s="25"/>
      <c r="J759" s="15">
        <f t="shared" si="21"/>
        <v>0</v>
      </c>
      <c r="K759" s="2"/>
    </row>
    <row r="760" spans="1:15" x14ac:dyDescent="0.3">
      <c r="A760" s="4">
        <v>46151</v>
      </c>
      <c r="B760" s="1">
        <v>8086</v>
      </c>
      <c r="C760" s="1">
        <v>3</v>
      </c>
      <c r="D760" s="26" t="s">
        <v>7</v>
      </c>
      <c r="E760" s="1" t="s">
        <v>24</v>
      </c>
      <c r="F760" s="1">
        <f>40+39+39</f>
        <v>118</v>
      </c>
      <c r="G760" s="5">
        <v>0</v>
      </c>
      <c r="H760" s="6">
        <f t="shared" si="36"/>
        <v>590</v>
      </c>
      <c r="I760" s="7"/>
      <c r="J760" s="8">
        <f t="shared" si="21"/>
        <v>0</v>
      </c>
      <c r="K760" s="9"/>
      <c r="L760" s="1"/>
      <c r="M760" s="1"/>
      <c r="N760" s="1"/>
      <c r="O760" s="1"/>
    </row>
    <row r="761" spans="1:15" x14ac:dyDescent="0.3">
      <c r="A761" s="21">
        <v>46153</v>
      </c>
      <c r="B761">
        <v>8087</v>
      </c>
      <c r="C761">
        <v>1</v>
      </c>
      <c r="D761" t="s">
        <v>11</v>
      </c>
      <c r="E761" t="s">
        <v>12</v>
      </c>
      <c r="F761">
        <f>30+33+33</f>
        <v>96</v>
      </c>
      <c r="G761" s="23">
        <v>9</v>
      </c>
      <c r="H761" s="24">
        <f>+F761*6+G761*1</f>
        <v>585</v>
      </c>
      <c r="I761" s="25"/>
      <c r="J761" s="15">
        <f t="shared" si="21"/>
        <v>0</v>
      </c>
      <c r="K761" s="2"/>
    </row>
    <row r="762" spans="1:15" x14ac:dyDescent="0.3">
      <c r="A762" s="21">
        <v>46153</v>
      </c>
      <c r="B762">
        <v>8088</v>
      </c>
      <c r="C762">
        <v>1</v>
      </c>
      <c r="D762" t="s">
        <v>22</v>
      </c>
      <c r="E762" t="s">
        <v>33</v>
      </c>
      <c r="F762">
        <v>25</v>
      </c>
      <c r="G762" s="23">
        <v>0</v>
      </c>
      <c r="H762" s="24">
        <f t="shared" si="33"/>
        <v>150</v>
      </c>
      <c r="I762" s="25"/>
      <c r="J762" s="15">
        <f t="shared" si="21"/>
        <v>0</v>
      </c>
      <c r="K762" s="2"/>
    </row>
    <row r="763" spans="1:15" x14ac:dyDescent="0.3">
      <c r="A763" s="21">
        <v>46153</v>
      </c>
      <c r="B763">
        <v>8089</v>
      </c>
      <c r="C763">
        <v>1</v>
      </c>
      <c r="D763" t="s">
        <v>22</v>
      </c>
      <c r="E763" t="s">
        <v>1</v>
      </c>
      <c r="F763">
        <v>33</v>
      </c>
      <c r="G763" s="23">
        <v>10</v>
      </c>
      <c r="H763" s="24">
        <f t="shared" si="33"/>
        <v>203</v>
      </c>
      <c r="I763" s="25"/>
      <c r="J763" s="15">
        <f t="shared" si="21"/>
        <v>0</v>
      </c>
      <c r="K763" s="2"/>
    </row>
    <row r="764" spans="1:15" x14ac:dyDescent="0.3">
      <c r="A764" s="21">
        <v>46153</v>
      </c>
      <c r="B764">
        <v>8090</v>
      </c>
      <c r="C764">
        <v>1</v>
      </c>
      <c r="D764" t="s">
        <v>36</v>
      </c>
      <c r="E764" t="s">
        <v>14</v>
      </c>
      <c r="F764">
        <v>33</v>
      </c>
      <c r="G764" s="23">
        <v>0</v>
      </c>
      <c r="H764" s="24">
        <f t="shared" si="33"/>
        <v>198</v>
      </c>
      <c r="I764" s="25"/>
      <c r="J764" s="15">
        <f t="shared" si="21"/>
        <v>0</v>
      </c>
      <c r="K764" s="2"/>
    </row>
    <row r="765" spans="1:15" x14ac:dyDescent="0.3">
      <c r="A765" s="21">
        <v>46153</v>
      </c>
      <c r="B765">
        <v>8091</v>
      </c>
      <c r="C765">
        <v>1</v>
      </c>
      <c r="D765" t="s">
        <v>27</v>
      </c>
      <c r="E765" t="s">
        <v>14</v>
      </c>
      <c r="F765">
        <v>32</v>
      </c>
      <c r="G765" s="23">
        <v>8</v>
      </c>
      <c r="H765" s="24">
        <f t="shared" si="33"/>
        <v>196</v>
      </c>
      <c r="I765" s="25"/>
      <c r="J765" s="15">
        <f t="shared" si="21"/>
        <v>0</v>
      </c>
      <c r="K765" s="2"/>
    </row>
    <row r="766" spans="1:15" x14ac:dyDescent="0.3">
      <c r="A766" s="21">
        <v>46153</v>
      </c>
      <c r="B766">
        <v>8092</v>
      </c>
      <c r="C766">
        <v>1</v>
      </c>
      <c r="D766" t="s">
        <v>0</v>
      </c>
      <c r="E766" t="s">
        <v>14</v>
      </c>
      <c r="F766">
        <f>33+32+33+33+33</f>
        <v>164</v>
      </c>
      <c r="G766" s="23">
        <f>5+10+8+4+1</f>
        <v>28</v>
      </c>
      <c r="H766" s="24">
        <f t="shared" si="33"/>
        <v>998</v>
      </c>
      <c r="I766" s="25"/>
      <c r="J766" s="15">
        <f t="shared" si="21"/>
        <v>0</v>
      </c>
      <c r="K766" s="2"/>
    </row>
    <row r="767" spans="1:15" x14ac:dyDescent="0.3">
      <c r="A767" s="21">
        <v>46153</v>
      </c>
      <c r="B767">
        <v>8093</v>
      </c>
      <c r="C767">
        <v>1</v>
      </c>
      <c r="D767" t="s">
        <v>15</v>
      </c>
      <c r="E767" t="s">
        <v>14</v>
      </c>
      <c r="F767">
        <f>33+33</f>
        <v>66</v>
      </c>
      <c r="G767" s="23">
        <v>14</v>
      </c>
      <c r="H767" s="24">
        <f t="shared" si="33"/>
        <v>403</v>
      </c>
      <c r="I767" s="25"/>
      <c r="J767" s="15">
        <f t="shared" si="21"/>
        <v>0</v>
      </c>
      <c r="K767" s="2"/>
    </row>
    <row r="768" spans="1:15" x14ac:dyDescent="0.3">
      <c r="A768" s="21">
        <v>46153</v>
      </c>
      <c r="B768">
        <v>8094</v>
      </c>
      <c r="C768">
        <v>1</v>
      </c>
      <c r="D768" t="s">
        <v>29</v>
      </c>
      <c r="E768" t="s">
        <v>14</v>
      </c>
      <c r="F768">
        <v>33</v>
      </c>
      <c r="G768" s="23">
        <v>9</v>
      </c>
      <c r="H768" s="24">
        <f t="shared" si="33"/>
        <v>202.5</v>
      </c>
      <c r="I768" s="25"/>
      <c r="J768" s="15">
        <f t="shared" ref="J768:J835" si="37">+H768*I768</f>
        <v>0</v>
      </c>
      <c r="K768" s="2"/>
    </row>
    <row r="769" spans="1:15" x14ac:dyDescent="0.3">
      <c r="A769" s="4">
        <v>46153</v>
      </c>
      <c r="B769" s="1">
        <v>8095</v>
      </c>
      <c r="C769" s="1">
        <v>1</v>
      </c>
      <c r="D769" s="1" t="s">
        <v>17</v>
      </c>
      <c r="E769" s="1" t="s">
        <v>14</v>
      </c>
      <c r="F769" s="1">
        <v>33</v>
      </c>
      <c r="G769" s="5">
        <v>2</v>
      </c>
      <c r="H769" s="6">
        <f t="shared" si="33"/>
        <v>199</v>
      </c>
      <c r="I769" s="7"/>
      <c r="J769" s="8">
        <f t="shared" si="37"/>
        <v>0</v>
      </c>
      <c r="K769" s="9"/>
      <c r="L769" s="1"/>
      <c r="M769" s="1"/>
      <c r="N769" s="1"/>
      <c r="O769" s="1"/>
    </row>
    <row r="770" spans="1:15" x14ac:dyDescent="0.3">
      <c r="A770" s="21">
        <v>46154</v>
      </c>
      <c r="B770">
        <v>8096</v>
      </c>
      <c r="C770">
        <v>1</v>
      </c>
      <c r="D770" s="22" t="s">
        <v>7</v>
      </c>
      <c r="E770" t="s">
        <v>4</v>
      </c>
      <c r="F770">
        <f>43+36+35</f>
        <v>114</v>
      </c>
      <c r="G770" s="23">
        <v>0</v>
      </c>
      <c r="H770" s="24">
        <f>+F770*5+G770*0.5</f>
        <v>570</v>
      </c>
      <c r="I770" s="25"/>
      <c r="J770" s="15">
        <f t="shared" si="37"/>
        <v>0</v>
      </c>
      <c r="K770" s="2"/>
    </row>
    <row r="771" spans="1:15" x14ac:dyDescent="0.3">
      <c r="A771" s="21">
        <v>46154</v>
      </c>
      <c r="B771">
        <v>8096</v>
      </c>
      <c r="C771">
        <v>2</v>
      </c>
      <c r="D771" s="22" t="s">
        <v>7</v>
      </c>
      <c r="E771" t="s">
        <v>24</v>
      </c>
      <c r="F771">
        <f>40+39</f>
        <v>79</v>
      </c>
      <c r="G771" s="23">
        <v>0</v>
      </c>
      <c r="H771" s="24">
        <f>+F771*5+G771*0.5</f>
        <v>395</v>
      </c>
      <c r="I771" s="25"/>
      <c r="J771" s="15">
        <f t="shared" si="37"/>
        <v>0</v>
      </c>
      <c r="K771" s="2"/>
    </row>
    <row r="772" spans="1:15" x14ac:dyDescent="0.3">
      <c r="A772" s="21">
        <v>46154</v>
      </c>
      <c r="B772">
        <v>8097</v>
      </c>
      <c r="C772">
        <v>1</v>
      </c>
      <c r="D772" t="s">
        <v>22</v>
      </c>
      <c r="E772" t="s">
        <v>1</v>
      </c>
      <c r="F772">
        <v>33</v>
      </c>
      <c r="G772" s="23">
        <v>11</v>
      </c>
      <c r="H772" s="24">
        <f t="shared" si="33"/>
        <v>203.5</v>
      </c>
      <c r="I772" s="25"/>
      <c r="J772" s="15">
        <f t="shared" si="37"/>
        <v>0</v>
      </c>
      <c r="K772" s="2"/>
    </row>
    <row r="773" spans="1:15" x14ac:dyDescent="0.3">
      <c r="A773" s="21">
        <v>46154</v>
      </c>
      <c r="B773">
        <v>8098</v>
      </c>
      <c r="C773">
        <v>1</v>
      </c>
      <c r="D773" t="s">
        <v>27</v>
      </c>
      <c r="E773" t="s">
        <v>14</v>
      </c>
      <c r="F773">
        <v>66</v>
      </c>
      <c r="G773" s="23">
        <f>5+7</f>
        <v>12</v>
      </c>
      <c r="H773" s="24">
        <f t="shared" si="33"/>
        <v>402</v>
      </c>
      <c r="I773" s="25"/>
      <c r="J773" s="15">
        <f t="shared" si="37"/>
        <v>0</v>
      </c>
      <c r="K773" s="2"/>
    </row>
    <row r="774" spans="1:15" x14ac:dyDescent="0.3">
      <c r="A774" s="21">
        <v>46154</v>
      </c>
      <c r="B774">
        <v>8099</v>
      </c>
      <c r="C774">
        <v>1</v>
      </c>
      <c r="D774" t="s">
        <v>15</v>
      </c>
      <c r="E774" t="s">
        <v>14</v>
      </c>
      <c r="F774">
        <v>33</v>
      </c>
      <c r="G774" s="23">
        <v>3</v>
      </c>
      <c r="H774" s="24">
        <f t="shared" si="33"/>
        <v>199.5</v>
      </c>
      <c r="I774" s="25"/>
      <c r="J774" s="15">
        <f t="shared" si="37"/>
        <v>0</v>
      </c>
      <c r="K774" s="2"/>
    </row>
    <row r="775" spans="1:15" x14ac:dyDescent="0.3">
      <c r="A775" s="21">
        <v>46154</v>
      </c>
      <c r="B775">
        <v>8100</v>
      </c>
      <c r="C775">
        <v>1</v>
      </c>
      <c r="D775" t="s">
        <v>29</v>
      </c>
      <c r="E775" t="s">
        <v>14</v>
      </c>
      <c r="F775">
        <v>33</v>
      </c>
      <c r="G775" s="23">
        <v>7</v>
      </c>
      <c r="H775" s="24">
        <f t="shared" si="33"/>
        <v>201.5</v>
      </c>
      <c r="I775" s="25"/>
      <c r="J775" s="15">
        <f t="shared" si="37"/>
        <v>0</v>
      </c>
      <c r="K775" s="2"/>
    </row>
    <row r="776" spans="1:15" x14ac:dyDescent="0.3">
      <c r="A776" s="21">
        <v>46154</v>
      </c>
      <c r="B776">
        <v>8101</v>
      </c>
      <c r="C776">
        <v>1</v>
      </c>
      <c r="D776" t="s">
        <v>17</v>
      </c>
      <c r="E776" t="s">
        <v>1</v>
      </c>
      <c r="F776">
        <v>33</v>
      </c>
      <c r="G776" s="23">
        <v>10</v>
      </c>
      <c r="H776" s="24">
        <f t="shared" si="33"/>
        <v>203</v>
      </c>
      <c r="I776" s="25"/>
      <c r="J776" s="15">
        <f t="shared" si="37"/>
        <v>0</v>
      </c>
      <c r="K776" s="2"/>
    </row>
    <row r="777" spans="1:15" x14ac:dyDescent="0.3">
      <c r="A777" s="21">
        <v>46154</v>
      </c>
      <c r="B777">
        <v>8102</v>
      </c>
      <c r="C777">
        <v>1</v>
      </c>
      <c r="D777" s="22" t="s">
        <v>7</v>
      </c>
      <c r="E777" t="s">
        <v>8</v>
      </c>
      <c r="F777">
        <v>42</v>
      </c>
      <c r="G777" s="23">
        <v>0</v>
      </c>
      <c r="H777" s="24">
        <f>+F777*5+G777*0.5</f>
        <v>210</v>
      </c>
      <c r="I777" s="25"/>
      <c r="J777" s="15">
        <f t="shared" si="37"/>
        <v>0</v>
      </c>
      <c r="K777" s="2"/>
    </row>
    <row r="778" spans="1:15" x14ac:dyDescent="0.3">
      <c r="A778" s="21">
        <v>46154</v>
      </c>
      <c r="B778">
        <v>8102</v>
      </c>
      <c r="C778">
        <v>2</v>
      </c>
      <c r="D778" s="22" t="s">
        <v>7</v>
      </c>
      <c r="E778" t="s">
        <v>24</v>
      </c>
      <c r="F778">
        <f>39+38</f>
        <v>77</v>
      </c>
      <c r="G778" s="23">
        <v>0</v>
      </c>
      <c r="H778" s="24">
        <f t="shared" ref="H778:H790" si="38">+F778*5+G778*0.5</f>
        <v>385</v>
      </c>
      <c r="I778" s="25"/>
      <c r="J778" s="15">
        <f t="shared" si="37"/>
        <v>0</v>
      </c>
      <c r="K778" s="2"/>
    </row>
    <row r="779" spans="1:15" x14ac:dyDescent="0.3">
      <c r="A779" s="4">
        <v>46154</v>
      </c>
      <c r="B779" s="1">
        <v>8102</v>
      </c>
      <c r="C779" s="1">
        <v>3</v>
      </c>
      <c r="D779" s="26" t="s">
        <v>7</v>
      </c>
      <c r="E779" s="1" t="s">
        <v>4</v>
      </c>
      <c r="F779" s="1">
        <f>36+36</f>
        <v>72</v>
      </c>
      <c r="G779" s="5">
        <v>0</v>
      </c>
      <c r="H779" s="6">
        <f t="shared" si="38"/>
        <v>360</v>
      </c>
      <c r="I779" s="7"/>
      <c r="J779" s="8">
        <f t="shared" si="37"/>
        <v>0</v>
      </c>
      <c r="K779" s="9"/>
      <c r="L779" s="1"/>
      <c r="M779" s="1"/>
      <c r="N779" s="1"/>
      <c r="O779" s="1"/>
    </row>
    <row r="780" spans="1:15" x14ac:dyDescent="0.3">
      <c r="A780" s="21">
        <v>46155</v>
      </c>
      <c r="B780">
        <v>8103</v>
      </c>
      <c r="C780">
        <v>1</v>
      </c>
      <c r="D780" s="22" t="s">
        <v>7</v>
      </c>
      <c r="E780" t="s">
        <v>4</v>
      </c>
      <c r="F780">
        <v>42</v>
      </c>
      <c r="G780" s="23">
        <v>0</v>
      </c>
      <c r="H780" s="24">
        <f t="shared" si="38"/>
        <v>210</v>
      </c>
      <c r="I780" s="25"/>
      <c r="J780" s="15">
        <f t="shared" si="37"/>
        <v>0</v>
      </c>
      <c r="K780" s="2"/>
    </row>
    <row r="781" spans="1:15" x14ac:dyDescent="0.3">
      <c r="A781" s="21">
        <v>46155</v>
      </c>
      <c r="B781">
        <v>8103</v>
      </c>
      <c r="C781">
        <v>2</v>
      </c>
      <c r="D781" s="22" t="s">
        <v>7</v>
      </c>
      <c r="E781" t="s">
        <v>8</v>
      </c>
      <c r="F781">
        <f>42+42+42+42+40+39+39</f>
        <v>286</v>
      </c>
      <c r="G781" s="23">
        <v>0</v>
      </c>
      <c r="H781" s="24">
        <f t="shared" si="38"/>
        <v>1430</v>
      </c>
      <c r="I781" s="25"/>
      <c r="J781" s="15">
        <f t="shared" si="37"/>
        <v>0</v>
      </c>
      <c r="K781" s="2"/>
    </row>
    <row r="782" spans="1:15" x14ac:dyDescent="0.3">
      <c r="A782" s="21">
        <v>46155</v>
      </c>
      <c r="B782">
        <v>8103</v>
      </c>
      <c r="C782">
        <v>3</v>
      </c>
      <c r="D782" s="22" t="s">
        <v>7</v>
      </c>
      <c r="E782" t="s">
        <v>24</v>
      </c>
      <c r="F782">
        <f>39+33</f>
        <v>72</v>
      </c>
      <c r="G782" s="23">
        <v>0</v>
      </c>
      <c r="H782" s="24">
        <f t="shared" si="38"/>
        <v>360</v>
      </c>
      <c r="I782" s="25"/>
      <c r="J782" s="15">
        <f t="shared" si="37"/>
        <v>0</v>
      </c>
      <c r="K782" s="2"/>
    </row>
    <row r="783" spans="1:15" x14ac:dyDescent="0.3">
      <c r="A783" s="21">
        <v>46155</v>
      </c>
      <c r="B783">
        <v>8104</v>
      </c>
      <c r="C783">
        <v>1</v>
      </c>
      <c r="D783" s="22" t="s">
        <v>7</v>
      </c>
      <c r="E783" t="s">
        <v>4</v>
      </c>
      <c r="F783">
        <f>36+42+35</f>
        <v>113</v>
      </c>
      <c r="G783" s="23">
        <v>0</v>
      </c>
      <c r="H783" s="24">
        <f t="shared" si="38"/>
        <v>565</v>
      </c>
      <c r="I783" s="25"/>
      <c r="J783" s="15">
        <f t="shared" si="37"/>
        <v>0</v>
      </c>
      <c r="K783" s="2"/>
    </row>
    <row r="784" spans="1:15" x14ac:dyDescent="0.3">
      <c r="A784" s="21">
        <v>46155</v>
      </c>
      <c r="B784">
        <v>8104</v>
      </c>
      <c r="C784">
        <v>2</v>
      </c>
      <c r="D784" s="22" t="s">
        <v>7</v>
      </c>
      <c r="E784" t="s">
        <v>24</v>
      </c>
      <c r="F784">
        <v>39</v>
      </c>
      <c r="G784" s="23">
        <v>0</v>
      </c>
      <c r="H784" s="24">
        <f t="shared" si="38"/>
        <v>195</v>
      </c>
      <c r="I784" s="25"/>
      <c r="J784" s="15">
        <f t="shared" si="37"/>
        <v>0</v>
      </c>
      <c r="K784" s="2"/>
    </row>
    <row r="785" spans="1:15" x14ac:dyDescent="0.3">
      <c r="A785" s="21">
        <v>46155</v>
      </c>
      <c r="B785">
        <v>8105</v>
      </c>
      <c r="C785">
        <v>1</v>
      </c>
      <c r="D785" s="22" t="s">
        <v>18</v>
      </c>
      <c r="E785" s="28" t="s">
        <v>20</v>
      </c>
      <c r="F785">
        <v>21</v>
      </c>
      <c r="G785" s="23">
        <v>1</v>
      </c>
      <c r="H785" s="24">
        <f>+F785*9+G785*1</f>
        <v>190</v>
      </c>
      <c r="I785" s="25"/>
      <c r="J785" s="15">
        <f t="shared" si="37"/>
        <v>0</v>
      </c>
      <c r="K785" s="2"/>
    </row>
    <row r="786" spans="1:15" x14ac:dyDescent="0.3">
      <c r="A786" s="21">
        <v>46155</v>
      </c>
      <c r="B786">
        <v>8106</v>
      </c>
      <c r="C786">
        <v>1</v>
      </c>
      <c r="D786" s="22" t="s">
        <v>2</v>
      </c>
      <c r="E786" t="s">
        <v>50</v>
      </c>
      <c r="F786">
        <v>25</v>
      </c>
      <c r="G786" s="23">
        <v>0</v>
      </c>
      <c r="H786" s="24">
        <f>+F786*5+G786*0.5</f>
        <v>125</v>
      </c>
      <c r="I786" s="25"/>
      <c r="J786" s="15">
        <f t="shared" si="37"/>
        <v>0</v>
      </c>
      <c r="K786" s="2"/>
    </row>
    <row r="787" spans="1:15" x14ac:dyDescent="0.3">
      <c r="A787" s="4">
        <v>46155</v>
      </c>
      <c r="B787" s="1">
        <v>8106</v>
      </c>
      <c r="C787" s="1">
        <v>2</v>
      </c>
      <c r="D787" s="26" t="s">
        <v>2</v>
      </c>
      <c r="E787" s="1" t="s">
        <v>46</v>
      </c>
      <c r="F787" s="1">
        <v>30</v>
      </c>
      <c r="G787" s="5">
        <v>0</v>
      </c>
      <c r="H787" s="6">
        <f t="shared" si="38"/>
        <v>150</v>
      </c>
      <c r="I787" s="7"/>
      <c r="J787" s="8">
        <f t="shared" si="37"/>
        <v>0</v>
      </c>
      <c r="K787" s="9"/>
      <c r="L787" s="1"/>
      <c r="M787" s="1"/>
      <c r="N787" s="1"/>
      <c r="O787" s="1"/>
    </row>
    <row r="788" spans="1:15" x14ac:dyDescent="0.3">
      <c r="A788" s="21">
        <v>46156</v>
      </c>
      <c r="B788">
        <v>8107</v>
      </c>
      <c r="C788">
        <v>1</v>
      </c>
      <c r="D788" s="22" t="s">
        <v>7</v>
      </c>
      <c r="E788" t="s">
        <v>4</v>
      </c>
      <c r="F788">
        <v>42</v>
      </c>
      <c r="G788" s="23">
        <v>0</v>
      </c>
      <c r="H788" s="24">
        <f t="shared" si="38"/>
        <v>210</v>
      </c>
      <c r="I788" s="25"/>
      <c r="J788" s="15">
        <f t="shared" si="37"/>
        <v>0</v>
      </c>
      <c r="K788" s="2"/>
    </row>
    <row r="789" spans="1:15" x14ac:dyDescent="0.3">
      <c r="A789" s="21">
        <v>46156</v>
      </c>
      <c r="B789">
        <v>8107</v>
      </c>
      <c r="C789">
        <v>2</v>
      </c>
      <c r="D789" s="22" t="s">
        <v>7</v>
      </c>
      <c r="E789" t="s">
        <v>8</v>
      </c>
      <c r="F789">
        <f>42+41</f>
        <v>83</v>
      </c>
      <c r="G789" s="23">
        <v>0</v>
      </c>
      <c r="H789" s="24">
        <f t="shared" si="38"/>
        <v>415</v>
      </c>
      <c r="I789" s="25"/>
      <c r="J789" s="15">
        <f t="shared" si="37"/>
        <v>0</v>
      </c>
      <c r="K789" s="2"/>
    </row>
    <row r="790" spans="1:15" x14ac:dyDescent="0.3">
      <c r="A790" s="21">
        <v>46156</v>
      </c>
      <c r="B790">
        <v>8107</v>
      </c>
      <c r="C790">
        <v>3</v>
      </c>
      <c r="D790" s="22" t="s">
        <v>7</v>
      </c>
      <c r="E790" t="s">
        <v>24</v>
      </c>
      <c r="F790">
        <f>39+39</f>
        <v>78</v>
      </c>
      <c r="G790" s="23">
        <v>0</v>
      </c>
      <c r="H790" s="24">
        <f t="shared" si="38"/>
        <v>390</v>
      </c>
      <c r="I790" s="25"/>
      <c r="J790" s="15">
        <f t="shared" si="37"/>
        <v>0</v>
      </c>
      <c r="K790" s="2"/>
    </row>
    <row r="791" spans="1:15" x14ac:dyDescent="0.3">
      <c r="A791" s="21">
        <v>46156</v>
      </c>
      <c r="B791" s="36">
        <v>8108</v>
      </c>
      <c r="C791" s="36">
        <v>1</v>
      </c>
      <c r="D791" s="36" t="s">
        <v>21</v>
      </c>
      <c r="E791" s="36" t="s">
        <v>14</v>
      </c>
      <c r="F791" s="36">
        <v>0</v>
      </c>
      <c r="G791" s="37">
        <v>0</v>
      </c>
      <c r="H791" s="38">
        <f t="shared" ref="H791:H839" si="39">+F791*6+G791*0.5</f>
        <v>0</v>
      </c>
      <c r="I791" s="39"/>
      <c r="J791" s="15">
        <f t="shared" si="37"/>
        <v>0</v>
      </c>
      <c r="K791" s="2"/>
    </row>
    <row r="792" spans="1:15" x14ac:dyDescent="0.3">
      <c r="A792" s="21">
        <v>46156</v>
      </c>
      <c r="B792" s="36">
        <v>8109</v>
      </c>
      <c r="C792" s="36">
        <v>1</v>
      </c>
      <c r="D792" s="36" t="s">
        <v>21</v>
      </c>
      <c r="E792" s="36" t="s">
        <v>1</v>
      </c>
      <c r="F792" s="36">
        <v>0</v>
      </c>
      <c r="G792" s="37">
        <v>0</v>
      </c>
      <c r="H792" s="38">
        <f t="shared" si="39"/>
        <v>0</v>
      </c>
      <c r="I792" s="39"/>
      <c r="J792" s="15">
        <f t="shared" si="37"/>
        <v>0</v>
      </c>
      <c r="K792" s="2"/>
    </row>
    <row r="793" spans="1:15" x14ac:dyDescent="0.3">
      <c r="A793" s="4">
        <v>46156</v>
      </c>
      <c r="B793" s="1">
        <v>8110</v>
      </c>
      <c r="C793" s="1">
        <v>1</v>
      </c>
      <c r="D793" s="1" t="s">
        <v>17</v>
      </c>
      <c r="E793" s="1" t="s">
        <v>14</v>
      </c>
      <c r="F793" s="1">
        <f>32+32+33+33+33</f>
        <v>163</v>
      </c>
      <c r="G793" s="5">
        <f>10+6+8+9+2</f>
        <v>35</v>
      </c>
      <c r="H793" s="6">
        <f t="shared" si="39"/>
        <v>995.5</v>
      </c>
      <c r="I793" s="7"/>
      <c r="J793" s="8">
        <f t="shared" si="37"/>
        <v>0</v>
      </c>
      <c r="K793" s="9"/>
      <c r="L793" s="1"/>
      <c r="M793" s="1"/>
      <c r="N793" s="1"/>
      <c r="O793" s="1"/>
    </row>
    <row r="794" spans="1:15" x14ac:dyDescent="0.3">
      <c r="A794" s="21">
        <v>46157</v>
      </c>
      <c r="B794">
        <v>8111</v>
      </c>
      <c r="C794">
        <v>1</v>
      </c>
      <c r="D794" t="s">
        <v>22</v>
      </c>
      <c r="E794" t="s">
        <v>33</v>
      </c>
      <c r="F794">
        <f>31+30+30+27</f>
        <v>118</v>
      </c>
      <c r="G794" s="23">
        <v>5</v>
      </c>
      <c r="H794" s="24">
        <f>+F794*6+G794*1</f>
        <v>713</v>
      </c>
      <c r="I794" s="25"/>
      <c r="J794" s="15">
        <f t="shared" si="37"/>
        <v>0</v>
      </c>
      <c r="K794" s="2"/>
    </row>
    <row r="795" spans="1:15" x14ac:dyDescent="0.3">
      <c r="A795" s="21">
        <v>46157</v>
      </c>
      <c r="B795">
        <v>8112</v>
      </c>
      <c r="C795">
        <v>1</v>
      </c>
      <c r="D795" t="s">
        <v>36</v>
      </c>
      <c r="E795" t="s">
        <v>14</v>
      </c>
      <c r="F795">
        <f>33+32+32</f>
        <v>97</v>
      </c>
      <c r="G795" s="23">
        <f>10+8+5</f>
        <v>23</v>
      </c>
      <c r="H795" s="24">
        <f t="shared" si="39"/>
        <v>593.5</v>
      </c>
      <c r="I795" s="25"/>
      <c r="J795" s="15">
        <f t="shared" si="37"/>
        <v>0</v>
      </c>
      <c r="K795" s="2"/>
    </row>
    <row r="796" spans="1:15" x14ac:dyDescent="0.3">
      <c r="A796" s="21">
        <v>46157</v>
      </c>
      <c r="B796" s="36">
        <v>8113</v>
      </c>
      <c r="C796" s="36">
        <v>1</v>
      </c>
      <c r="D796" s="36" t="s">
        <v>21</v>
      </c>
      <c r="E796" s="36" t="s">
        <v>1</v>
      </c>
      <c r="F796" s="36">
        <v>0</v>
      </c>
      <c r="G796" s="37">
        <v>0</v>
      </c>
      <c r="H796" s="38">
        <f t="shared" si="39"/>
        <v>0</v>
      </c>
      <c r="I796" s="39"/>
      <c r="J796" s="15">
        <f t="shared" si="37"/>
        <v>0</v>
      </c>
      <c r="K796" s="2"/>
    </row>
    <row r="797" spans="1:15" x14ac:dyDescent="0.3">
      <c r="A797" s="21">
        <v>46157</v>
      </c>
      <c r="B797">
        <v>8114</v>
      </c>
      <c r="C797">
        <v>1</v>
      </c>
      <c r="D797" s="22" t="s">
        <v>7</v>
      </c>
      <c r="E797" t="s">
        <v>8</v>
      </c>
      <c r="F797">
        <f>42+42+39</f>
        <v>123</v>
      </c>
      <c r="G797" s="23">
        <v>0</v>
      </c>
      <c r="H797" s="24">
        <f>+F797*5+G797*0.5</f>
        <v>615</v>
      </c>
      <c r="I797" s="25"/>
      <c r="J797" s="15">
        <f t="shared" si="37"/>
        <v>0</v>
      </c>
      <c r="K797" s="2"/>
    </row>
    <row r="798" spans="1:15" x14ac:dyDescent="0.3">
      <c r="A798" s="21">
        <v>46157</v>
      </c>
      <c r="B798">
        <v>8114</v>
      </c>
      <c r="C798">
        <v>2</v>
      </c>
      <c r="D798" s="22" t="s">
        <v>7</v>
      </c>
      <c r="E798" t="s">
        <v>9</v>
      </c>
      <c r="F798">
        <v>26</v>
      </c>
      <c r="G798" s="23">
        <v>0</v>
      </c>
      <c r="H798" s="24">
        <f>+F798*7+G798*0.5</f>
        <v>182</v>
      </c>
      <c r="I798" s="25"/>
      <c r="J798" s="15">
        <f t="shared" si="37"/>
        <v>0</v>
      </c>
      <c r="K798" s="2"/>
    </row>
    <row r="799" spans="1:15" x14ac:dyDescent="0.3">
      <c r="A799" s="21">
        <v>46157</v>
      </c>
      <c r="B799">
        <v>8115</v>
      </c>
      <c r="C799">
        <v>1</v>
      </c>
      <c r="D799" s="22" t="s">
        <v>18</v>
      </c>
      <c r="E799" s="28" t="s">
        <v>20</v>
      </c>
      <c r="F799">
        <v>21</v>
      </c>
      <c r="G799" s="23">
        <v>7</v>
      </c>
      <c r="H799" s="24">
        <f>+F799*9+G799*1</f>
        <v>196</v>
      </c>
      <c r="I799" s="25"/>
      <c r="J799" s="15">
        <f t="shared" si="37"/>
        <v>0</v>
      </c>
      <c r="K799" s="2"/>
    </row>
    <row r="800" spans="1:15" x14ac:dyDescent="0.3">
      <c r="A800" s="21">
        <v>46157</v>
      </c>
      <c r="B800">
        <v>8116</v>
      </c>
      <c r="C800">
        <v>1</v>
      </c>
      <c r="D800" t="s">
        <v>21</v>
      </c>
      <c r="E800">
        <v>0</v>
      </c>
      <c r="F800">
        <v>0</v>
      </c>
      <c r="G800" s="23">
        <v>0</v>
      </c>
      <c r="H800" s="24">
        <f t="shared" si="39"/>
        <v>0</v>
      </c>
      <c r="I800" s="25"/>
      <c r="J800" s="15">
        <f t="shared" si="37"/>
        <v>0</v>
      </c>
      <c r="K800" s="2"/>
    </row>
    <row r="801" spans="1:15" x14ac:dyDescent="0.3">
      <c r="A801" s="21">
        <v>46157</v>
      </c>
      <c r="B801">
        <v>8117</v>
      </c>
      <c r="C801">
        <v>1</v>
      </c>
      <c r="D801" t="s">
        <v>21</v>
      </c>
      <c r="E801">
        <v>0</v>
      </c>
      <c r="F801">
        <v>0</v>
      </c>
      <c r="G801" s="23">
        <v>0</v>
      </c>
      <c r="H801" s="24">
        <f t="shared" si="39"/>
        <v>0</v>
      </c>
      <c r="I801" s="25"/>
      <c r="J801" s="15">
        <f t="shared" si="37"/>
        <v>0</v>
      </c>
      <c r="K801" s="2"/>
    </row>
    <row r="802" spans="1:15" x14ac:dyDescent="0.3">
      <c r="A802" s="4">
        <v>46157</v>
      </c>
      <c r="B802" s="1">
        <v>8118</v>
      </c>
      <c r="C802" s="1">
        <v>1</v>
      </c>
      <c r="D802" s="1" t="s">
        <v>21</v>
      </c>
      <c r="E802" s="1">
        <v>0</v>
      </c>
      <c r="F802" s="1">
        <v>0</v>
      </c>
      <c r="G802" s="5">
        <v>0</v>
      </c>
      <c r="H802" s="6">
        <f t="shared" si="39"/>
        <v>0</v>
      </c>
      <c r="I802" s="7"/>
      <c r="J802" s="8">
        <f t="shared" si="37"/>
        <v>0</v>
      </c>
      <c r="K802" s="9"/>
      <c r="L802" s="1"/>
      <c r="M802" s="1"/>
      <c r="N802" s="1"/>
      <c r="O802" s="1"/>
    </row>
    <row r="803" spans="1:15" x14ac:dyDescent="0.3">
      <c r="A803" s="41">
        <v>46164</v>
      </c>
      <c r="B803" s="42">
        <v>8119</v>
      </c>
      <c r="C803" s="42">
        <v>1</v>
      </c>
      <c r="D803" s="42" t="s">
        <v>22</v>
      </c>
      <c r="E803" s="42" t="s">
        <v>33</v>
      </c>
      <c r="F803" s="42">
        <f>27+33+32+30+32+29+32+33+25+28+30+30+31+29+30</f>
        <v>451</v>
      </c>
      <c r="G803" s="43">
        <f>2+1+1+3+4+1+2+1+3+5</f>
        <v>23</v>
      </c>
      <c r="H803" s="44">
        <f>+F803*6+G803*1</f>
        <v>2729</v>
      </c>
      <c r="I803" s="45"/>
      <c r="J803" s="46">
        <f t="shared" si="37"/>
        <v>0</v>
      </c>
      <c r="K803" s="47"/>
      <c r="L803" s="42"/>
      <c r="M803" s="42"/>
      <c r="N803" s="42"/>
      <c r="O803" s="42"/>
    </row>
    <row r="804" spans="1:15" x14ac:dyDescent="0.3">
      <c r="A804" s="21">
        <v>46165</v>
      </c>
      <c r="B804">
        <v>8120</v>
      </c>
      <c r="C804">
        <v>1</v>
      </c>
      <c r="D804" t="s">
        <v>2</v>
      </c>
      <c r="E804" t="s">
        <v>50</v>
      </c>
      <c r="F804">
        <v>18</v>
      </c>
      <c r="G804" s="23">
        <v>0</v>
      </c>
      <c r="H804" s="24">
        <f>+F804*5+G804*0.5</f>
        <v>90</v>
      </c>
      <c r="I804" s="25"/>
      <c r="J804" s="15">
        <f t="shared" si="37"/>
        <v>0</v>
      </c>
      <c r="K804" s="2"/>
    </row>
    <row r="805" spans="1:15" x14ac:dyDescent="0.3">
      <c r="A805" s="21">
        <v>46165</v>
      </c>
      <c r="B805">
        <v>8120</v>
      </c>
      <c r="C805">
        <v>2</v>
      </c>
      <c r="D805" t="s">
        <v>2</v>
      </c>
      <c r="E805" t="s">
        <v>46</v>
      </c>
      <c r="F805">
        <v>18</v>
      </c>
      <c r="G805" s="23">
        <v>0</v>
      </c>
      <c r="H805" s="24">
        <f>+F805*5+G805*0.5</f>
        <v>90</v>
      </c>
      <c r="I805" s="25"/>
      <c r="J805" s="15">
        <f t="shared" si="37"/>
        <v>0</v>
      </c>
      <c r="K805" s="2"/>
    </row>
    <row r="806" spans="1:15" x14ac:dyDescent="0.3">
      <c r="A806" s="21">
        <v>46165</v>
      </c>
      <c r="B806">
        <v>8121</v>
      </c>
      <c r="C806">
        <v>1</v>
      </c>
      <c r="D806" s="22" t="s">
        <v>7</v>
      </c>
      <c r="E806" t="s">
        <v>8</v>
      </c>
      <c r="F806">
        <f>43+42+40+39</f>
        <v>164</v>
      </c>
      <c r="G806" s="23">
        <v>0</v>
      </c>
      <c r="H806" s="24">
        <f>+F806*5+G806*0.5</f>
        <v>820</v>
      </c>
      <c r="I806" s="25"/>
      <c r="J806" s="15">
        <f t="shared" si="37"/>
        <v>0</v>
      </c>
      <c r="K806" s="2"/>
    </row>
    <row r="807" spans="1:15" x14ac:dyDescent="0.3">
      <c r="A807" s="21">
        <v>46165</v>
      </c>
      <c r="B807">
        <v>8121</v>
      </c>
      <c r="C807">
        <v>2</v>
      </c>
      <c r="D807" s="22" t="s">
        <v>7</v>
      </c>
      <c r="E807" t="s">
        <v>24</v>
      </c>
      <c r="F807">
        <f>39+39</f>
        <v>78</v>
      </c>
      <c r="G807" s="23">
        <v>0</v>
      </c>
      <c r="H807" s="24">
        <f t="shared" ref="H807:H808" si="40">+F807*5+G807*0.5</f>
        <v>390</v>
      </c>
      <c r="I807" s="25"/>
      <c r="J807" s="15">
        <f t="shared" si="37"/>
        <v>0</v>
      </c>
      <c r="K807" s="2"/>
    </row>
    <row r="808" spans="1:15" x14ac:dyDescent="0.3">
      <c r="A808" s="21">
        <v>46165</v>
      </c>
      <c r="B808">
        <v>8121</v>
      </c>
      <c r="C808">
        <v>3</v>
      </c>
      <c r="D808" s="22" t="s">
        <v>7</v>
      </c>
      <c r="E808" t="s">
        <v>4</v>
      </c>
      <c r="F808">
        <f>36+36+35+34</f>
        <v>141</v>
      </c>
      <c r="G808" s="23">
        <v>0</v>
      </c>
      <c r="H808" s="24">
        <f t="shared" si="40"/>
        <v>705</v>
      </c>
      <c r="I808" s="25"/>
      <c r="J808" s="15">
        <f t="shared" si="37"/>
        <v>0</v>
      </c>
      <c r="K808" s="2"/>
    </row>
    <row r="809" spans="1:15" x14ac:dyDescent="0.3">
      <c r="A809" s="4">
        <v>46165</v>
      </c>
      <c r="B809" s="1">
        <v>8121</v>
      </c>
      <c r="C809" s="1">
        <v>4</v>
      </c>
      <c r="D809" s="26" t="s">
        <v>7</v>
      </c>
      <c r="E809" s="1" t="s">
        <v>9</v>
      </c>
      <c r="F809" s="1">
        <v>28</v>
      </c>
      <c r="G809" s="5">
        <v>0</v>
      </c>
      <c r="H809" s="6">
        <f>+F809*7+G809*0.5</f>
        <v>196</v>
      </c>
      <c r="I809" s="7"/>
      <c r="J809" s="8">
        <f t="shared" si="37"/>
        <v>0</v>
      </c>
      <c r="K809" s="9"/>
      <c r="L809" s="1"/>
      <c r="M809" s="1"/>
      <c r="N809" s="1"/>
      <c r="O809" s="1"/>
    </row>
    <row r="810" spans="1:15" x14ac:dyDescent="0.3">
      <c r="A810" s="21">
        <v>46169</v>
      </c>
      <c r="B810">
        <v>8122</v>
      </c>
      <c r="C810">
        <v>1</v>
      </c>
      <c r="D810" s="22" t="s">
        <v>7</v>
      </c>
      <c r="E810" t="s">
        <v>4</v>
      </c>
      <c r="F810">
        <f>43+42+36+35</f>
        <v>156</v>
      </c>
      <c r="G810" s="23">
        <v>0</v>
      </c>
      <c r="H810" s="24">
        <f>+F810*5+G810*0.5</f>
        <v>780</v>
      </c>
      <c r="I810" s="25"/>
      <c r="J810" s="15">
        <f t="shared" si="37"/>
        <v>0</v>
      </c>
      <c r="K810" s="2"/>
    </row>
    <row r="811" spans="1:15" x14ac:dyDescent="0.3">
      <c r="A811" s="21">
        <v>46169</v>
      </c>
      <c r="B811">
        <v>8122</v>
      </c>
      <c r="C811">
        <v>2</v>
      </c>
      <c r="D811" s="22" t="s">
        <v>7</v>
      </c>
      <c r="E811" t="s">
        <v>8</v>
      </c>
      <c r="F811">
        <v>42</v>
      </c>
      <c r="G811" s="23">
        <v>0</v>
      </c>
      <c r="H811" s="24">
        <f>+F811*5+G811*0.5</f>
        <v>210</v>
      </c>
      <c r="I811" s="25"/>
      <c r="J811" s="15">
        <f t="shared" si="37"/>
        <v>0</v>
      </c>
      <c r="K811" s="2"/>
    </row>
    <row r="812" spans="1:15" x14ac:dyDescent="0.3">
      <c r="A812" s="21">
        <v>46169</v>
      </c>
      <c r="B812">
        <v>8123</v>
      </c>
      <c r="C812">
        <v>1</v>
      </c>
      <c r="D812" t="s">
        <v>0</v>
      </c>
      <c r="E812" t="s">
        <v>14</v>
      </c>
      <c r="F812">
        <f>33+32+32+33+32+33+34+33</f>
        <v>262</v>
      </c>
      <c r="G812" s="23">
        <f>9+11+1+9+9+5+5</f>
        <v>49</v>
      </c>
      <c r="H812" s="24">
        <f t="shared" si="39"/>
        <v>1596.5</v>
      </c>
      <c r="I812" s="25"/>
      <c r="J812" s="15">
        <f t="shared" si="37"/>
        <v>0</v>
      </c>
      <c r="K812" s="2"/>
    </row>
    <row r="813" spans="1:15" x14ac:dyDescent="0.3">
      <c r="A813" s="21">
        <v>46169</v>
      </c>
      <c r="B813">
        <v>8124</v>
      </c>
      <c r="C813">
        <v>1</v>
      </c>
      <c r="D813" t="s">
        <v>0</v>
      </c>
      <c r="E813" t="s">
        <v>1</v>
      </c>
      <c r="F813">
        <f>33+33+33+31+33+16</f>
        <v>179</v>
      </c>
      <c r="G813" s="23">
        <f>11+10+11+7+7+10</f>
        <v>56</v>
      </c>
      <c r="H813" s="24">
        <f t="shared" si="39"/>
        <v>1102</v>
      </c>
      <c r="I813" s="25"/>
      <c r="J813" s="15">
        <f t="shared" si="37"/>
        <v>0</v>
      </c>
      <c r="K813" s="2"/>
    </row>
    <row r="814" spans="1:15" x14ac:dyDescent="0.3">
      <c r="A814" s="21">
        <v>46169</v>
      </c>
      <c r="B814">
        <v>8125</v>
      </c>
      <c r="C814">
        <v>1</v>
      </c>
      <c r="D814" t="s">
        <v>15</v>
      </c>
      <c r="E814" t="s">
        <v>14</v>
      </c>
      <c r="F814">
        <f>32+33+33+33+33+33</f>
        <v>197</v>
      </c>
      <c r="G814" s="23">
        <f>9+5+7+8</f>
        <v>29</v>
      </c>
      <c r="H814" s="24">
        <f t="shared" si="39"/>
        <v>1196.5</v>
      </c>
      <c r="I814" s="25"/>
      <c r="J814" s="15">
        <f t="shared" si="37"/>
        <v>0</v>
      </c>
      <c r="K814" s="2"/>
    </row>
    <row r="815" spans="1:15" x14ac:dyDescent="0.3">
      <c r="A815" s="4">
        <v>46169</v>
      </c>
      <c r="B815" s="1">
        <v>8126</v>
      </c>
      <c r="C815" s="1">
        <v>1</v>
      </c>
      <c r="D815" s="1" t="s">
        <v>16</v>
      </c>
      <c r="E815" s="1" t="s">
        <v>14</v>
      </c>
      <c r="F815" s="1">
        <f>33+33+33+33+33+33+32+32+33+33</f>
        <v>328</v>
      </c>
      <c r="G815" s="5">
        <f>8+5+4+3+8+8+9+8+6+6</f>
        <v>65</v>
      </c>
      <c r="H815" s="6">
        <f t="shared" si="39"/>
        <v>2000.5</v>
      </c>
      <c r="I815" s="7"/>
      <c r="J815" s="125">
        <f t="shared" si="37"/>
        <v>0</v>
      </c>
      <c r="K815" s="9"/>
      <c r="L815" s="1"/>
      <c r="M815" s="1"/>
      <c r="N815" s="1"/>
      <c r="O815" s="1"/>
    </row>
    <row r="816" spans="1:15" x14ac:dyDescent="0.3">
      <c r="A816" s="21">
        <v>46170</v>
      </c>
      <c r="B816">
        <v>8127</v>
      </c>
      <c r="C816">
        <v>1</v>
      </c>
      <c r="D816" t="s">
        <v>7</v>
      </c>
      <c r="E816" t="s">
        <v>8</v>
      </c>
      <c r="F816">
        <v>204</v>
      </c>
      <c r="G816" s="23">
        <v>0</v>
      </c>
      <c r="H816" s="24">
        <f t="shared" ref="H816:H817" si="41">+F816*5+G816*0.5</f>
        <v>1020</v>
      </c>
      <c r="I816" s="25"/>
      <c r="J816" s="15">
        <f t="shared" si="37"/>
        <v>0</v>
      </c>
      <c r="K816" s="2"/>
    </row>
    <row r="817" spans="1:11" x14ac:dyDescent="0.3">
      <c r="A817" s="21">
        <v>46171</v>
      </c>
      <c r="B817">
        <v>8128</v>
      </c>
      <c r="C817">
        <v>1</v>
      </c>
      <c r="D817" t="s">
        <v>7</v>
      </c>
      <c r="E817" t="s">
        <v>8</v>
      </c>
      <c r="F817">
        <v>85</v>
      </c>
      <c r="G817" s="23">
        <v>0</v>
      </c>
      <c r="H817" s="24">
        <f t="shared" si="41"/>
        <v>425</v>
      </c>
      <c r="I817" s="25"/>
      <c r="J817" s="15">
        <f t="shared" si="37"/>
        <v>0</v>
      </c>
      <c r="K817" s="2"/>
    </row>
    <row r="818" spans="1:11" x14ac:dyDescent="0.3">
      <c r="A818" s="21">
        <v>46171</v>
      </c>
      <c r="B818">
        <v>8128</v>
      </c>
      <c r="C818">
        <v>2</v>
      </c>
      <c r="D818" t="s">
        <v>7</v>
      </c>
      <c r="E818" t="s">
        <v>9</v>
      </c>
      <c r="F818">
        <v>84</v>
      </c>
      <c r="G818" s="23">
        <v>0</v>
      </c>
      <c r="H818" s="24">
        <f t="shared" si="39"/>
        <v>504</v>
      </c>
      <c r="I818" s="25"/>
      <c r="J818" s="15">
        <f t="shared" si="37"/>
        <v>0</v>
      </c>
      <c r="K818" s="2"/>
    </row>
    <row r="819" spans="1:11" x14ac:dyDescent="0.3">
      <c r="A819" s="21">
        <v>46171</v>
      </c>
      <c r="B819">
        <v>8129</v>
      </c>
      <c r="C819">
        <v>1</v>
      </c>
      <c r="D819" t="s">
        <v>36</v>
      </c>
      <c r="E819" t="s">
        <v>14</v>
      </c>
      <c r="F819">
        <v>131</v>
      </c>
      <c r="G819" s="23">
        <v>27</v>
      </c>
      <c r="H819" s="24">
        <f t="shared" si="39"/>
        <v>799.5</v>
      </c>
      <c r="I819" s="25"/>
      <c r="J819" s="15">
        <f t="shared" si="37"/>
        <v>0</v>
      </c>
      <c r="K819" s="2"/>
    </row>
    <row r="820" spans="1:11" x14ac:dyDescent="0.3">
      <c r="A820" s="21">
        <v>46171</v>
      </c>
      <c r="B820">
        <v>8130</v>
      </c>
      <c r="C820">
        <v>1</v>
      </c>
      <c r="D820" t="s">
        <v>16</v>
      </c>
      <c r="E820" t="s">
        <v>14</v>
      </c>
      <c r="F820">
        <v>125</v>
      </c>
      <c r="G820" s="23">
        <v>27</v>
      </c>
      <c r="H820" s="24">
        <f t="shared" si="39"/>
        <v>763.5</v>
      </c>
      <c r="I820" s="25"/>
      <c r="J820" s="15">
        <f t="shared" si="37"/>
        <v>0</v>
      </c>
      <c r="K820" s="2"/>
    </row>
    <row r="821" spans="1:11" x14ac:dyDescent="0.3">
      <c r="A821" s="21">
        <v>46171</v>
      </c>
      <c r="B821">
        <v>8131</v>
      </c>
      <c r="C821">
        <v>1</v>
      </c>
      <c r="D821" t="s">
        <v>16</v>
      </c>
      <c r="E821" t="s">
        <v>1</v>
      </c>
      <c r="F821">
        <v>115</v>
      </c>
      <c r="G821" s="23">
        <v>27</v>
      </c>
      <c r="H821" s="6">
        <f t="shared" si="39"/>
        <v>703.5</v>
      </c>
      <c r="I821" s="25"/>
      <c r="J821" s="125">
        <f t="shared" si="37"/>
        <v>0</v>
      </c>
      <c r="K821" s="2"/>
    </row>
    <row r="822" spans="1:11" x14ac:dyDescent="0.3">
      <c r="A822" s="21">
        <v>46171</v>
      </c>
      <c r="B822">
        <v>8132</v>
      </c>
      <c r="C822">
        <v>1</v>
      </c>
      <c r="D822" t="s">
        <v>15</v>
      </c>
      <c r="E822" t="s">
        <v>14</v>
      </c>
      <c r="F822">
        <v>115</v>
      </c>
      <c r="G822" s="23">
        <v>13</v>
      </c>
      <c r="H822" s="24">
        <f t="shared" ref="H822:H823" si="42">+F822*5+G822*0.5</f>
        <v>581.5</v>
      </c>
      <c r="I822" s="25"/>
      <c r="J822" s="15">
        <f t="shared" si="37"/>
        <v>0</v>
      </c>
      <c r="K822" s="2"/>
    </row>
    <row r="823" spans="1:11" x14ac:dyDescent="0.3">
      <c r="A823" s="21">
        <v>46172</v>
      </c>
      <c r="B823">
        <v>8133</v>
      </c>
      <c r="C823">
        <v>1</v>
      </c>
      <c r="D823" t="s">
        <v>7</v>
      </c>
      <c r="E823" t="s">
        <v>8</v>
      </c>
      <c r="F823">
        <v>121</v>
      </c>
      <c r="G823" s="23">
        <v>0</v>
      </c>
      <c r="H823" s="24">
        <f t="shared" si="42"/>
        <v>605</v>
      </c>
      <c r="I823" s="25"/>
      <c r="J823" s="15">
        <f t="shared" si="37"/>
        <v>0</v>
      </c>
      <c r="K823" s="2"/>
    </row>
    <row r="824" spans="1:11" x14ac:dyDescent="0.3">
      <c r="A824" s="21">
        <v>46172</v>
      </c>
      <c r="B824">
        <v>8133</v>
      </c>
      <c r="C824">
        <v>2</v>
      </c>
      <c r="D824" t="s">
        <v>7</v>
      </c>
      <c r="E824" t="s">
        <v>9</v>
      </c>
      <c r="F824">
        <v>56</v>
      </c>
      <c r="G824" s="23">
        <v>0</v>
      </c>
      <c r="H824" s="24">
        <f t="shared" si="39"/>
        <v>336</v>
      </c>
      <c r="I824" s="25"/>
      <c r="J824" s="15">
        <f t="shared" si="37"/>
        <v>0</v>
      </c>
      <c r="K824" s="2"/>
    </row>
    <row r="825" spans="1:11" x14ac:dyDescent="0.3">
      <c r="A825" s="21">
        <v>46175</v>
      </c>
      <c r="B825">
        <v>8134</v>
      </c>
      <c r="C825">
        <v>1</v>
      </c>
      <c r="D825" t="s">
        <v>7</v>
      </c>
      <c r="E825" t="s">
        <v>9</v>
      </c>
      <c r="F825">
        <v>27</v>
      </c>
      <c r="G825" s="23">
        <v>0</v>
      </c>
      <c r="H825" s="24">
        <f t="shared" si="39"/>
        <v>162</v>
      </c>
      <c r="I825" s="25"/>
      <c r="J825" s="15">
        <f t="shared" si="37"/>
        <v>0</v>
      </c>
      <c r="K825" s="2"/>
    </row>
    <row r="826" spans="1:11" x14ac:dyDescent="0.3">
      <c r="A826" s="21">
        <v>46175</v>
      </c>
      <c r="B826">
        <v>8134</v>
      </c>
      <c r="C826">
        <v>2</v>
      </c>
      <c r="D826" t="s">
        <v>7</v>
      </c>
      <c r="E826" t="s">
        <v>8</v>
      </c>
      <c r="F826">
        <v>39</v>
      </c>
      <c r="G826" s="23">
        <v>0</v>
      </c>
      <c r="H826" s="24">
        <f t="shared" si="39"/>
        <v>234</v>
      </c>
      <c r="I826" s="25"/>
      <c r="J826" s="15">
        <f t="shared" si="37"/>
        <v>0</v>
      </c>
      <c r="K826" s="2"/>
    </row>
    <row r="827" spans="1:11" x14ac:dyDescent="0.3">
      <c r="A827" s="21">
        <v>46175</v>
      </c>
      <c r="B827">
        <v>8134</v>
      </c>
      <c r="C827">
        <v>3</v>
      </c>
      <c r="D827" t="s">
        <v>7</v>
      </c>
      <c r="E827" t="s">
        <v>4</v>
      </c>
      <c r="F827">
        <f>36+36+36</f>
        <v>108</v>
      </c>
      <c r="G827" s="23">
        <v>0</v>
      </c>
      <c r="H827" s="6">
        <f t="shared" si="39"/>
        <v>648</v>
      </c>
      <c r="I827" s="25"/>
      <c r="J827" s="125">
        <f t="shared" si="37"/>
        <v>0</v>
      </c>
      <c r="K827" s="2"/>
    </row>
    <row r="828" spans="1:11" x14ac:dyDescent="0.3">
      <c r="A828" s="21">
        <v>46177</v>
      </c>
      <c r="B828">
        <v>8135</v>
      </c>
      <c r="C828">
        <v>1</v>
      </c>
      <c r="D828" t="s">
        <v>7</v>
      </c>
      <c r="E828" t="s">
        <v>8</v>
      </c>
      <c r="F828">
        <v>42</v>
      </c>
      <c r="G828" s="23">
        <v>0</v>
      </c>
      <c r="H828" s="24">
        <f t="shared" ref="H828:H829" si="43">+F828*5+G828*0.5</f>
        <v>210</v>
      </c>
      <c r="I828" s="25"/>
      <c r="J828" s="126">
        <f t="shared" si="37"/>
        <v>0</v>
      </c>
      <c r="K828" s="2"/>
    </row>
    <row r="829" spans="1:11" x14ac:dyDescent="0.3">
      <c r="A829" s="21">
        <v>46177</v>
      </c>
      <c r="B829">
        <v>8135</v>
      </c>
      <c r="C829">
        <v>2</v>
      </c>
      <c r="D829" t="s">
        <v>7</v>
      </c>
      <c r="E829" t="s">
        <v>4</v>
      </c>
      <c r="F829">
        <f>36+30</f>
        <v>66</v>
      </c>
      <c r="G829" s="23">
        <v>0</v>
      </c>
      <c r="H829" s="24">
        <f t="shared" si="43"/>
        <v>330</v>
      </c>
      <c r="I829" s="25"/>
      <c r="J829" s="126">
        <f t="shared" si="37"/>
        <v>0</v>
      </c>
      <c r="K829" s="2"/>
    </row>
    <row r="830" spans="1:11" x14ac:dyDescent="0.3">
      <c r="A830" s="21">
        <v>46177</v>
      </c>
      <c r="B830">
        <v>8136</v>
      </c>
      <c r="C830">
        <v>1</v>
      </c>
      <c r="D830" t="s">
        <v>18</v>
      </c>
      <c r="E830" s="28" t="s">
        <v>20</v>
      </c>
      <c r="F830">
        <f>22+21</f>
        <v>43</v>
      </c>
      <c r="G830" s="23">
        <v>10</v>
      </c>
      <c r="H830" s="24">
        <f t="shared" si="39"/>
        <v>263</v>
      </c>
      <c r="I830" s="25"/>
      <c r="J830" s="126">
        <f t="shared" si="37"/>
        <v>0</v>
      </c>
      <c r="K830" s="2"/>
    </row>
    <row r="831" spans="1:11" x14ac:dyDescent="0.3">
      <c r="A831" s="21">
        <v>46178</v>
      </c>
      <c r="B831">
        <v>8137</v>
      </c>
      <c r="C831">
        <v>1</v>
      </c>
      <c r="D831" t="s">
        <v>18</v>
      </c>
      <c r="E831" s="28" t="s">
        <v>20</v>
      </c>
      <c r="F831">
        <v>21</v>
      </c>
      <c r="G831" s="23">
        <v>0</v>
      </c>
      <c r="H831" s="24">
        <f t="shared" si="39"/>
        <v>126</v>
      </c>
      <c r="I831" s="25"/>
      <c r="J831" s="126">
        <f t="shared" si="37"/>
        <v>0</v>
      </c>
      <c r="K831" s="2"/>
    </row>
    <row r="832" spans="1:11" x14ac:dyDescent="0.3">
      <c r="A832" s="21">
        <v>46183</v>
      </c>
      <c r="B832">
        <v>8138</v>
      </c>
      <c r="C832">
        <v>1</v>
      </c>
      <c r="D832" t="s">
        <v>18</v>
      </c>
      <c r="E832" t="s">
        <v>62</v>
      </c>
      <c r="F832">
        <f>3+3+3+3+3+3+3+3+3+3+3+3+3+3+3+3</f>
        <v>48</v>
      </c>
      <c r="G832" s="23">
        <v>0</v>
      </c>
      <c r="H832" s="24">
        <f t="shared" si="39"/>
        <v>288</v>
      </c>
      <c r="I832" s="25"/>
      <c r="J832" s="126">
        <f t="shared" si="37"/>
        <v>0</v>
      </c>
      <c r="K832" s="2"/>
    </row>
    <row r="833" spans="1:12" x14ac:dyDescent="0.3">
      <c r="A833" s="21">
        <v>46183</v>
      </c>
      <c r="B833">
        <v>8139</v>
      </c>
      <c r="C833">
        <v>1</v>
      </c>
      <c r="D833" t="s">
        <v>18</v>
      </c>
      <c r="E833" t="s">
        <v>62</v>
      </c>
      <c r="F833">
        <f>3+3+3+3+3</f>
        <v>15</v>
      </c>
      <c r="G833" s="23">
        <v>0</v>
      </c>
      <c r="H833" s="6">
        <f t="shared" si="39"/>
        <v>90</v>
      </c>
      <c r="I833" s="25"/>
      <c r="J833" s="126">
        <f t="shared" si="37"/>
        <v>0</v>
      </c>
      <c r="K833" s="2"/>
    </row>
    <row r="834" spans="1:12" x14ac:dyDescent="0.3">
      <c r="A834" s="21">
        <v>46183</v>
      </c>
      <c r="B834">
        <v>8140</v>
      </c>
      <c r="C834">
        <v>1</v>
      </c>
      <c r="D834" t="s">
        <v>7</v>
      </c>
      <c r="E834" t="s">
        <v>8</v>
      </c>
      <c r="F834">
        <f>42+39</f>
        <v>81</v>
      </c>
      <c r="G834" s="23">
        <v>0</v>
      </c>
      <c r="H834" s="24">
        <f t="shared" ref="H834:H835" si="44">+F834*5+G834*0.5</f>
        <v>405</v>
      </c>
      <c r="I834" s="25"/>
      <c r="J834" s="126">
        <f t="shared" si="37"/>
        <v>0</v>
      </c>
      <c r="K834" s="2"/>
    </row>
    <row r="835" spans="1:12" x14ac:dyDescent="0.3">
      <c r="A835" s="21">
        <v>46183</v>
      </c>
      <c r="B835">
        <v>8140</v>
      </c>
      <c r="C835">
        <v>2</v>
      </c>
      <c r="D835" t="s">
        <v>7</v>
      </c>
      <c r="E835" t="s">
        <v>9</v>
      </c>
      <c r="F835">
        <f>28+27+25</f>
        <v>80</v>
      </c>
      <c r="G835" s="23">
        <v>0</v>
      </c>
      <c r="H835" s="24">
        <f t="shared" si="44"/>
        <v>400</v>
      </c>
      <c r="I835" s="25"/>
      <c r="J835" s="126">
        <f t="shared" si="37"/>
        <v>0</v>
      </c>
      <c r="K835" s="2"/>
    </row>
    <row r="836" spans="1:12" x14ac:dyDescent="0.3">
      <c r="A836" s="21">
        <v>46183</v>
      </c>
      <c r="B836">
        <v>8140</v>
      </c>
      <c r="C836">
        <v>3</v>
      </c>
      <c r="D836" t="s">
        <v>7</v>
      </c>
      <c r="E836" t="s">
        <v>4</v>
      </c>
      <c r="F836">
        <v>40</v>
      </c>
      <c r="G836" s="23">
        <v>0</v>
      </c>
      <c r="H836" s="24">
        <f t="shared" si="39"/>
        <v>240</v>
      </c>
      <c r="I836" s="25"/>
      <c r="J836" s="126">
        <f t="shared" ref="J836:J851" si="45">+H836*I836</f>
        <v>0</v>
      </c>
      <c r="K836" s="2"/>
    </row>
    <row r="837" spans="1:12" x14ac:dyDescent="0.3">
      <c r="A837" s="21">
        <v>46183</v>
      </c>
      <c r="B837">
        <v>8140</v>
      </c>
      <c r="C837">
        <v>4</v>
      </c>
      <c r="D837" t="s">
        <v>7</v>
      </c>
      <c r="E837" t="s">
        <v>56</v>
      </c>
      <c r="F837">
        <f>40+39+39</f>
        <v>118</v>
      </c>
      <c r="G837" s="23">
        <v>0</v>
      </c>
      <c r="H837" s="24">
        <f t="shared" si="39"/>
        <v>708</v>
      </c>
      <c r="I837" s="25"/>
      <c r="J837" s="126">
        <f t="shared" si="45"/>
        <v>0</v>
      </c>
      <c r="K837" s="2"/>
    </row>
    <row r="838" spans="1:12" x14ac:dyDescent="0.3">
      <c r="A838" s="21">
        <v>46183</v>
      </c>
      <c r="B838">
        <v>8140</v>
      </c>
      <c r="C838">
        <v>5</v>
      </c>
      <c r="D838" t="s">
        <v>7</v>
      </c>
      <c r="E838" t="s">
        <v>8</v>
      </c>
      <c r="F838">
        <v>20</v>
      </c>
      <c r="G838" s="23">
        <v>0</v>
      </c>
      <c r="H838" s="24">
        <f t="shared" si="39"/>
        <v>120</v>
      </c>
      <c r="I838" s="25"/>
      <c r="J838" s="126">
        <f t="shared" si="45"/>
        <v>0</v>
      </c>
      <c r="K838" s="2"/>
    </row>
    <row r="839" spans="1:12" x14ac:dyDescent="0.3">
      <c r="A839" s="21">
        <v>46183</v>
      </c>
      <c r="B839">
        <v>8140</v>
      </c>
      <c r="C839">
        <v>6</v>
      </c>
      <c r="D839" t="s">
        <v>7</v>
      </c>
      <c r="E839" t="s">
        <v>63</v>
      </c>
      <c r="F839">
        <v>20</v>
      </c>
      <c r="G839" s="23">
        <v>0</v>
      </c>
      <c r="H839" s="6">
        <f t="shared" si="39"/>
        <v>120</v>
      </c>
      <c r="I839" s="25"/>
      <c r="J839" s="126">
        <f t="shared" si="45"/>
        <v>0</v>
      </c>
      <c r="K839" s="2"/>
    </row>
    <row r="840" spans="1:12" x14ac:dyDescent="0.3">
      <c r="A840" s="21">
        <v>46185</v>
      </c>
      <c r="B840">
        <v>8141</v>
      </c>
      <c r="C840">
        <v>1</v>
      </c>
      <c r="D840" t="s">
        <v>7</v>
      </c>
      <c r="E840" t="s">
        <v>9</v>
      </c>
      <c r="F840">
        <f>28+28+27+27+27+27+25</f>
        <v>189</v>
      </c>
      <c r="G840" s="23">
        <v>0</v>
      </c>
      <c r="H840" s="24">
        <f t="shared" ref="H840" si="46">+F840*5+G840*0.5</f>
        <v>945</v>
      </c>
      <c r="I840" s="25"/>
      <c r="J840" s="126">
        <f t="shared" si="45"/>
        <v>0</v>
      </c>
      <c r="K840" s="2"/>
      <c r="L840" s="69"/>
    </row>
    <row r="841" spans="1:12" x14ac:dyDescent="0.3">
      <c r="A841" s="21">
        <v>46185</v>
      </c>
      <c r="B841">
        <v>8141</v>
      </c>
      <c r="C841">
        <v>2</v>
      </c>
      <c r="D841" t="s">
        <v>7</v>
      </c>
      <c r="E841" t="s">
        <v>8</v>
      </c>
      <c r="F841">
        <v>42</v>
      </c>
      <c r="G841" s="23">
        <v>0</v>
      </c>
      <c r="H841" s="24">
        <f>+F841*5+G841*0.5</f>
        <v>210</v>
      </c>
      <c r="I841" s="25"/>
      <c r="J841" s="126">
        <f t="shared" si="45"/>
        <v>0</v>
      </c>
      <c r="K841" s="2"/>
    </row>
    <row r="842" spans="1:12" x14ac:dyDescent="0.3">
      <c r="A842" s="21">
        <v>46185</v>
      </c>
      <c r="B842">
        <v>8141</v>
      </c>
      <c r="C842">
        <v>3</v>
      </c>
      <c r="D842" t="s">
        <v>7</v>
      </c>
      <c r="E842" t="s">
        <v>64</v>
      </c>
      <c r="F842">
        <f>40+39+39+38</f>
        <v>156</v>
      </c>
      <c r="G842" s="23">
        <v>0</v>
      </c>
      <c r="H842" s="24">
        <f>+F842*5+G842*0.5</f>
        <v>780</v>
      </c>
      <c r="I842" s="25"/>
      <c r="J842" s="126">
        <f t="shared" si="45"/>
        <v>0</v>
      </c>
      <c r="K842" s="2"/>
    </row>
    <row r="843" spans="1:12" x14ac:dyDescent="0.3">
      <c r="A843" s="21">
        <v>46185</v>
      </c>
      <c r="B843">
        <v>8142</v>
      </c>
      <c r="C843">
        <v>1</v>
      </c>
      <c r="D843" t="s">
        <v>2</v>
      </c>
      <c r="E843" t="s">
        <v>50</v>
      </c>
      <c r="F843">
        <v>4</v>
      </c>
      <c r="G843" s="23">
        <v>0</v>
      </c>
      <c r="H843" s="24">
        <f>+F843*5+G843*0.5</f>
        <v>20</v>
      </c>
      <c r="I843" s="25"/>
      <c r="J843" s="126">
        <f t="shared" si="45"/>
        <v>0</v>
      </c>
      <c r="K843" s="2"/>
    </row>
    <row r="844" spans="1:12" x14ac:dyDescent="0.3">
      <c r="A844" s="21">
        <v>46185</v>
      </c>
      <c r="B844">
        <v>8142</v>
      </c>
      <c r="C844">
        <v>2</v>
      </c>
      <c r="D844" t="s">
        <v>2</v>
      </c>
      <c r="E844" t="s">
        <v>46</v>
      </c>
      <c r="F844">
        <v>6</v>
      </c>
      <c r="G844" s="23">
        <v>0</v>
      </c>
      <c r="H844" s="24">
        <f>+F844*5+G844*0.5</f>
        <v>30</v>
      </c>
      <c r="I844" s="25"/>
      <c r="J844" s="126">
        <f t="shared" si="45"/>
        <v>0</v>
      </c>
      <c r="K844" s="2"/>
    </row>
    <row r="845" spans="1:12" x14ac:dyDescent="0.3">
      <c r="A845" s="21">
        <v>46185</v>
      </c>
      <c r="B845">
        <v>8143</v>
      </c>
      <c r="C845">
        <v>1</v>
      </c>
      <c r="D845" t="s">
        <v>22</v>
      </c>
      <c r="E845" t="s">
        <v>65</v>
      </c>
      <c r="F845">
        <f>33+27+30+20+32+28</f>
        <v>170</v>
      </c>
      <c r="G845" s="23">
        <f>1+2+3+5+5+2</f>
        <v>18</v>
      </c>
      <c r="H845" s="24">
        <f>+F845*6+G845*1</f>
        <v>1038</v>
      </c>
      <c r="I845" s="25"/>
      <c r="J845" s="126">
        <f t="shared" si="45"/>
        <v>0</v>
      </c>
      <c r="K845" s="2"/>
    </row>
    <row r="846" spans="1:12" x14ac:dyDescent="0.3">
      <c r="A846" s="21">
        <v>46185</v>
      </c>
      <c r="B846">
        <v>8144</v>
      </c>
      <c r="C846">
        <v>1</v>
      </c>
      <c r="D846" t="s">
        <v>22</v>
      </c>
      <c r="E846" s="127" t="s">
        <v>1</v>
      </c>
      <c r="F846">
        <f>32+32+32+33+32</f>
        <v>161</v>
      </c>
      <c r="G846" s="23">
        <f>6+7+11+10+8</f>
        <v>42</v>
      </c>
      <c r="H846" s="24">
        <f>+F846*6+G846*0.5</f>
        <v>987</v>
      </c>
      <c r="I846" s="25"/>
      <c r="J846" s="126">
        <f t="shared" si="45"/>
        <v>0</v>
      </c>
      <c r="K846" s="2"/>
    </row>
    <row r="847" spans="1:12" x14ac:dyDescent="0.3">
      <c r="A847" s="21">
        <v>46185</v>
      </c>
      <c r="B847">
        <v>8145</v>
      </c>
      <c r="C847">
        <v>1</v>
      </c>
      <c r="D847" t="s">
        <v>29</v>
      </c>
      <c r="E847" t="s">
        <v>14</v>
      </c>
      <c r="F847">
        <f>33+33</f>
        <v>66</v>
      </c>
      <c r="G847" s="23">
        <f>1+2</f>
        <v>3</v>
      </c>
      <c r="H847" s="24">
        <f t="shared" ref="H847:H852" si="47">+F847*6+G847*0.5</f>
        <v>397.5</v>
      </c>
      <c r="I847" s="25"/>
      <c r="J847" s="126">
        <f t="shared" si="45"/>
        <v>0</v>
      </c>
      <c r="K847" s="2"/>
    </row>
    <row r="848" spans="1:12" x14ac:dyDescent="0.3">
      <c r="A848" t="s">
        <v>66</v>
      </c>
      <c r="B848">
        <v>8146</v>
      </c>
      <c r="C848">
        <v>1</v>
      </c>
      <c r="D848" t="s">
        <v>11</v>
      </c>
      <c r="E848" t="s">
        <v>12</v>
      </c>
      <c r="F848">
        <f>29+29+29+31+32</f>
        <v>150</v>
      </c>
      <c r="G848" s="23">
        <f>2+4+3+4+3</f>
        <v>16</v>
      </c>
      <c r="H848" s="24">
        <f>+F848*6+G848*1</f>
        <v>916</v>
      </c>
      <c r="I848" s="25"/>
      <c r="J848" s="126">
        <f t="shared" si="45"/>
        <v>0</v>
      </c>
      <c r="K848" s="2"/>
    </row>
    <row r="849" spans="1:11" x14ac:dyDescent="0.3">
      <c r="A849" s="21">
        <v>46189</v>
      </c>
      <c r="B849">
        <v>8147</v>
      </c>
      <c r="C849">
        <v>1</v>
      </c>
      <c r="D849" t="s">
        <v>18</v>
      </c>
      <c r="E849" t="s">
        <v>20</v>
      </c>
      <c r="F849">
        <f>19+21+22+21</f>
        <v>83</v>
      </c>
      <c r="G849" s="23">
        <f>1+7</f>
        <v>8</v>
      </c>
      <c r="H849" s="24">
        <f>+F849*9+G849*1</f>
        <v>755</v>
      </c>
      <c r="I849" s="25"/>
      <c r="J849" s="126">
        <f t="shared" si="45"/>
        <v>0</v>
      </c>
      <c r="K849" s="2"/>
    </row>
    <row r="850" spans="1:11" x14ac:dyDescent="0.3">
      <c r="A850" s="21">
        <v>46189</v>
      </c>
      <c r="B850">
        <v>8148</v>
      </c>
      <c r="C850">
        <v>1</v>
      </c>
      <c r="D850" t="s">
        <v>0</v>
      </c>
      <c r="E850" t="s">
        <v>1</v>
      </c>
      <c r="F850">
        <v>33</v>
      </c>
      <c r="G850" s="23">
        <v>10</v>
      </c>
      <c r="H850" s="24">
        <f t="shared" si="47"/>
        <v>203</v>
      </c>
      <c r="I850" s="25"/>
      <c r="J850" s="126">
        <f t="shared" si="45"/>
        <v>0</v>
      </c>
      <c r="K850" s="2"/>
    </row>
    <row r="851" spans="1:11" x14ac:dyDescent="0.3">
      <c r="A851" s="21">
        <v>46189</v>
      </c>
      <c r="B851">
        <v>8149</v>
      </c>
      <c r="C851">
        <v>1</v>
      </c>
      <c r="D851" t="s">
        <v>0</v>
      </c>
      <c r="E851" t="s">
        <v>14</v>
      </c>
      <c r="F851">
        <v>33</v>
      </c>
      <c r="G851" s="23">
        <v>9</v>
      </c>
      <c r="H851" s="24">
        <f t="shared" si="47"/>
        <v>202.5</v>
      </c>
      <c r="I851" s="25"/>
      <c r="J851" s="126">
        <f t="shared" si="45"/>
        <v>0</v>
      </c>
      <c r="K851" s="2"/>
    </row>
    <row r="852" spans="1:11" x14ac:dyDescent="0.3">
      <c r="A852" s="128" t="s">
        <v>67</v>
      </c>
      <c r="B852" t="s">
        <v>68</v>
      </c>
      <c r="C852" t="s">
        <v>69</v>
      </c>
      <c r="D852" t="s">
        <v>70</v>
      </c>
      <c r="E852" t="s">
        <v>71</v>
      </c>
      <c r="F852" t="s">
        <v>72</v>
      </c>
      <c r="G852" s="23" t="s">
        <v>73</v>
      </c>
      <c r="H852" s="24" t="s">
        <v>74</v>
      </c>
      <c r="I852" s="25" t="s">
        <v>75</v>
      </c>
      <c r="J852" s="126" t="s">
        <v>76</v>
      </c>
      <c r="K852" s="2"/>
    </row>
  </sheetData>
  <conditionalFormatting sqref="I1:I852">
    <cfRule type="cellIs" dxfId="1" priority="1" operator="lessThan">
      <formula>80</formula>
    </cfRule>
    <cfRule type="cellIs" dxfId="0" priority="2" operator="lessThan">
      <formula>70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2026-09-14T13:06:23Z</dcterms:created>
  <dcterms:modified xsi:type="dcterms:W3CDTF">2026-09-14T13:12:03Z</dcterms:modified>
</cp:coreProperties>
</file>